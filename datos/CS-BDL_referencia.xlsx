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jovercom-my.sharepoint.com/personal/santiago_guzman_ajover_com/Documents/Documentos/Proyecto Cubemaster/Herramineta Mike/"/>
    </mc:Choice>
  </mc:AlternateContent>
  <xr:revisionPtr revIDLastSave="3" documentId="8_{7D30F82C-16AB-4AE6-898C-BCDAA71EFDE7}" xr6:coauthVersionLast="47" xr6:coauthVersionMax="47" xr10:uidLastSave="{3FE974E8-81EE-4D98-A4D9-4BF6CC146E44}"/>
  <bookViews>
    <workbookView xWindow="-110" yWindow="-110" windowWidth="19420" windowHeight="11500" xr2:uid="{2523841C-6705-4647-8020-2FFCDFBCCF35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0" i="1" l="1"/>
  <c r="E69" i="1"/>
  <c r="F69" i="1" s="1"/>
  <c r="E68" i="1"/>
  <c r="F68" i="1" s="1"/>
  <c r="E67" i="1"/>
  <c r="F67" i="1" s="1"/>
  <c r="E66" i="1"/>
  <c r="F66" i="1" s="1"/>
  <c r="E65" i="1"/>
  <c r="F65" i="1" s="1"/>
  <c r="F64" i="1"/>
  <c r="E64" i="1"/>
  <c r="F63" i="1"/>
  <c r="E63" i="1"/>
  <c r="E62" i="1"/>
  <c r="F62" i="1" s="1"/>
  <c r="E61" i="1"/>
  <c r="F61" i="1" s="1"/>
  <c r="E60" i="1"/>
  <c r="F60" i="1" s="1"/>
  <c r="E59" i="1"/>
  <c r="F59" i="1" s="1"/>
  <c r="E58" i="1"/>
  <c r="F58" i="1" s="1"/>
  <c r="F57" i="1"/>
  <c r="E57" i="1"/>
  <c r="F56" i="1"/>
  <c r="E56" i="1"/>
  <c r="E55" i="1"/>
  <c r="F55" i="1" s="1"/>
  <c r="E54" i="1"/>
  <c r="F54" i="1" s="1"/>
  <c r="E53" i="1"/>
  <c r="F53" i="1" s="1"/>
  <c r="E52" i="1"/>
  <c r="F52" i="1" s="1"/>
  <c r="E51" i="1"/>
  <c r="F51" i="1" s="1"/>
  <c r="F50" i="1"/>
  <c r="E50" i="1"/>
  <c r="F49" i="1"/>
  <c r="E49" i="1"/>
  <c r="E48" i="1"/>
  <c r="F48" i="1" s="1"/>
  <c r="E47" i="1"/>
  <c r="F47" i="1" s="1"/>
  <c r="E46" i="1"/>
  <c r="F46" i="1" s="1"/>
  <c r="E45" i="1"/>
  <c r="F45" i="1" s="1"/>
  <c r="E44" i="1"/>
  <c r="F44" i="1" s="1"/>
  <c r="F43" i="1"/>
  <c r="E43" i="1"/>
  <c r="F42" i="1"/>
  <c r="E42" i="1"/>
  <c r="E41" i="1"/>
  <c r="F41" i="1" s="1"/>
  <c r="E40" i="1"/>
  <c r="F40" i="1" s="1"/>
  <c r="E39" i="1"/>
  <c r="F39" i="1" s="1"/>
  <c r="E38" i="1"/>
  <c r="F38" i="1" s="1"/>
  <c r="E37" i="1"/>
  <c r="F37" i="1" s="1"/>
  <c r="F36" i="1"/>
  <c r="E36" i="1"/>
  <c r="F35" i="1"/>
  <c r="E35" i="1"/>
  <c r="E34" i="1"/>
  <c r="F34" i="1" s="1"/>
  <c r="E33" i="1"/>
  <c r="F33" i="1" s="1"/>
  <c r="E32" i="1"/>
  <c r="F32" i="1" s="1"/>
  <c r="E31" i="1"/>
  <c r="F31" i="1" s="1"/>
  <c r="E30" i="1"/>
  <c r="F30" i="1" s="1"/>
  <c r="F29" i="1"/>
  <c r="E29" i="1"/>
  <c r="F28" i="1"/>
  <c r="E28" i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F21" i="1"/>
  <c r="E21" i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F14" i="1"/>
  <c r="E14" i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F7" i="1"/>
  <c r="E7" i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<sst xmlns="http://schemas.openxmlformats.org/spreadsheetml/2006/main" count="215" uniqueCount="147">
  <si>
    <t>ID Artículo</t>
  </si>
  <si>
    <t>Descr</t>
  </si>
  <si>
    <t>UM</t>
  </si>
  <si>
    <t>Rel</t>
  </si>
  <si>
    <t>Factor</t>
  </si>
  <si>
    <t>CS / BDL</t>
  </si>
  <si>
    <t>Alto (mm)</t>
  </si>
  <si>
    <t>Largo (mm)</t>
  </si>
  <si>
    <t>Ancho (mm)</t>
  </si>
  <si>
    <t>DU2014501</t>
  </si>
  <si>
    <t>5 Compartment School Lunch Tray (10.4''x8.4''x1.1''),500/cs</t>
  </si>
  <si>
    <t>BDL</t>
  </si>
  <si>
    <t>DU2014599</t>
  </si>
  <si>
    <t>5Comp. School Lunch Tray (10.4''x8.4''x1.1''),500/cs inBlack</t>
  </si>
  <si>
    <t>DU2014601</t>
  </si>
  <si>
    <t>6 Compartment School Lunch Tray (12.4''x8.4''x1.1''), 500/cs</t>
  </si>
  <si>
    <t>DU401101</t>
  </si>
  <si>
    <t>Foam G-1, 6.25 x 6.25 x 3.1 Hing. Cont., 500/cs</t>
  </si>
  <si>
    <t>DU401199</t>
  </si>
  <si>
    <t>¡Foam G-1, 6.25 x 6.25 x 3.1 Hing. Cont., 500/cs in Black</t>
  </si>
  <si>
    <t>DU402101</t>
  </si>
  <si>
    <t>Foam B-1, 5.125''x5.25''x2.75'' Sm Sandwich H/C, 500/cs</t>
  </si>
  <si>
    <t>DU402199</t>
  </si>
  <si>
    <t>*Foam B-1,5.125''x5.25''x2.75'' Sm Sandw. H/C,500/cs inBlack</t>
  </si>
  <si>
    <t>DU403101H</t>
  </si>
  <si>
    <t>Foam M-205, 9.25'' x 6.75'' x 2.75'' H/C, 200/cs Heavy Duty</t>
  </si>
  <si>
    <t>DU403101HV</t>
  </si>
  <si>
    <t>FoamM205 VENTED,9.25'' x 6.75'' x 2.75''Rect.Shallow,200/cs</t>
  </si>
  <si>
    <t>DU403101SH</t>
  </si>
  <si>
    <t>Foam M-206,9.25x6.75x2.5 Rect Shallow1 Comp H/C 200/cs Hv D</t>
  </si>
  <si>
    <t>DU403101SHV</t>
  </si>
  <si>
    <t>Foam M206 VENTED, 9.25x6.75x2.5 Rect., 200/cs</t>
  </si>
  <si>
    <t>DU403199H</t>
  </si>
  <si>
    <t>Foam M205, 9.25'' x 6.75'' x 2.75'' H/C, 200/cs Heavy Duty,</t>
  </si>
  <si>
    <t>DU403199HV</t>
  </si>
  <si>
    <t>Foam M-205, 9.25'' x 6.75'' x 2.75'' Single Comp Heavy Duty</t>
  </si>
  <si>
    <t>DU403199SH</t>
  </si>
  <si>
    <t>*Foam M-206,9.25 x6.75 x2.5 SHALLOW Single Comp Hvy D. Black</t>
  </si>
  <si>
    <t>DU404101</t>
  </si>
  <si>
    <t>Foam F-1, 5.125''x10.25''x3.25'' Hoagie H/C, 500/cs</t>
  </si>
  <si>
    <t>DU404199</t>
  </si>
  <si>
    <t>!Foam F-1, 5.125''x10.25''x3.25'' Hoagie H/C, 500/cs in Blac</t>
  </si>
  <si>
    <t>DU4051101</t>
  </si>
  <si>
    <t>Foam Q-1, 8.1x8.2x3.0 Hing. Cont., 200/cs</t>
  </si>
  <si>
    <t>DU4051101C</t>
  </si>
  <si>
    <t>Qualité Medium SingleComp 8.1 x 8.2 x 3.0 Hing. Cont 150/cs</t>
  </si>
  <si>
    <t>DU4051101V</t>
  </si>
  <si>
    <t>Foam Q-1 Vented, 8.1x8.2x3.0, 200/cs (White)</t>
  </si>
  <si>
    <t>DU4051199</t>
  </si>
  <si>
    <t>Foam Q-1, 8.1x8.2x3.0 Hing. Cont. 200/cs in Black</t>
  </si>
  <si>
    <t>DU4051199V</t>
  </si>
  <si>
    <t>Foam Q-1 Vented, 8.1x8.2x3.0, 200/cs (Black)</t>
  </si>
  <si>
    <t>DU4053101</t>
  </si>
  <si>
    <t>Foam Q-3, 8.1x8.2x3.0 Hing. Cont. 3 Comp.,200/cs</t>
  </si>
  <si>
    <t>DU4053101C</t>
  </si>
  <si>
    <t>Qualité Medium 3 Comp 8.1 x 8.2 x 3.0 Hing Cont 150/cs</t>
  </si>
  <si>
    <t>DU4053101-R007225</t>
  </si>
  <si>
    <t>!Q-3 White 200/cs (EMB/HOTSPOT)</t>
  </si>
  <si>
    <t>DU4053101V</t>
  </si>
  <si>
    <t>Foam Q-3 Vented, 8.1x8.2x3.0, 200/cs (White)</t>
  </si>
  <si>
    <t>DU4053199</t>
  </si>
  <si>
    <t>Foam Q-3, 8.1x8.2x3.0 Hing. Cont. 3 Comp., 200/cs Black</t>
  </si>
  <si>
    <t>DU4053199V</t>
  </si>
  <si>
    <t>Foam Q-3 Vented, 8.1x8.2x3.0, 200/cs (Black)</t>
  </si>
  <si>
    <t>DU406101</t>
  </si>
  <si>
    <t>*Foam S-1, 9.18'' x 9.18'' x 3'' Hing. Cont. , 200/cs</t>
  </si>
  <si>
    <t>DU406101C</t>
  </si>
  <si>
    <t>*Qualité Large Single Comp 9.18 x 9.18 x 3 Hing Cont 150/cs</t>
  </si>
  <si>
    <t>DU4061101</t>
  </si>
  <si>
    <t>!Foam S-1,9.0x9.0x3.1 Hing. Cont 200/cs</t>
  </si>
  <si>
    <t>DU4061101C</t>
  </si>
  <si>
    <t>Qualité Large Single Comp 9.18 x 9.18 x 3 Hing Cont 150/cs</t>
  </si>
  <si>
    <t>DU4061101-R007222</t>
  </si>
  <si>
    <t>!S-1 white 200/cs (EMB/OAKCITYFISH)</t>
  </si>
  <si>
    <t>DU4061101V</t>
  </si>
  <si>
    <t>Foam S-1 VENTED, 9.0 x 9.0 x 3.1 , 200/cs (white)</t>
  </si>
  <si>
    <t>DU4061199</t>
  </si>
  <si>
    <t>Foam S-1, 9.0” x 9.0” x 3.1”Hing. Cont. 1 Comp., 200/cs</t>
  </si>
  <si>
    <t>DU4061199V</t>
  </si>
  <si>
    <t>Foam S-1 VENTED, 9.0” x 9.0” x 3.1” 200/cs BLACK</t>
  </si>
  <si>
    <t>DU406301</t>
  </si>
  <si>
    <t>*Foam S-3, 9.18'' x 9.18'' x 3'' Hing. Cont. 3 Comp., 200/cs</t>
  </si>
  <si>
    <t>DU406301C</t>
  </si>
  <si>
    <t>*Qualité Large 3 Comp 9.18 x 9.18 x 3 Hing Cont  150/cs</t>
  </si>
  <si>
    <t>DU4063101</t>
  </si>
  <si>
    <t>FoamS-3,9.0” x 9.0” x 3.1Hing.Cont.3Comp.,200/cs</t>
  </si>
  <si>
    <t>DU4063101C</t>
  </si>
  <si>
    <t>Qualité Large 3 Comp 9.18 x 9.18 x 3 Hing Cont  150/cs</t>
  </si>
  <si>
    <t>DU4063101-R007226</t>
  </si>
  <si>
    <t>!S-3 White 200/cs (EMB/HOTSPOT)</t>
  </si>
  <si>
    <t>DU4063101V</t>
  </si>
  <si>
    <t>Foam S-3VENTED,9.0'' x 9.0'' x 3.1'',200/cs(white)</t>
  </si>
  <si>
    <t>DU4063199</t>
  </si>
  <si>
    <t>Foam S-3, 9.0'' x 9.0'' x 3.1 Hing. Cont. 3 Comp., 200/cs</t>
  </si>
  <si>
    <t>DU4063199SLV</t>
  </si>
  <si>
    <t>S-3C Dual Compartmentalized Vented Foam Hinged Container, 9x</t>
  </si>
  <si>
    <t>DU4063199V</t>
  </si>
  <si>
    <t>Foam S-3 VENTED, 9.0” x 9.0” x 3.1” 200/cs BLACK</t>
  </si>
  <si>
    <t>DU407101</t>
  </si>
  <si>
    <t>*Foam U-1,10''x10.25''x3.5'' SingleComp.Xtra LargeH/C,200/cs</t>
  </si>
  <si>
    <t>DU407101V</t>
  </si>
  <si>
    <t>Foam U-1 Vented,10x10.25x3.5 Single Comp. Xtra LargeH/C,200</t>
  </si>
  <si>
    <t>DU407199</t>
  </si>
  <si>
    <t>*Foam U-1,10'x10.25'x3.5'Sing.Comp.XtraL H/C,200/csinBlac</t>
  </si>
  <si>
    <t>DU407301</t>
  </si>
  <si>
    <t>*Foam U-3, 10''x10.25''x3.5'' 3 Comp. Xtra Large H/C ,200/cs</t>
  </si>
  <si>
    <t>DU407399V</t>
  </si>
  <si>
    <t>Foam U-3 Vented,10x10.25x3.5, 3 Comp. Xtra Large H/C , 200/c</t>
  </si>
  <si>
    <t>DU409101</t>
  </si>
  <si>
    <t>Foam D-1, 3.75''x7.125''x2'' Hot Dog H/C, 500/cs</t>
  </si>
  <si>
    <t>DU40A301</t>
  </si>
  <si>
    <t>Foam Y-3, 7.5 L x 8W x 2.25H Rect. Three Comp. H/C 200/cs</t>
  </si>
  <si>
    <t>DU40A399</t>
  </si>
  <si>
    <t>Foam Y-3 7.5 Lx8W x 2.25H Rect 3 Comp H/C 200/cs Black</t>
  </si>
  <si>
    <t>DU5005599</t>
  </si>
  <si>
    <t>*Foam 5 oz Bowl (4.75''x1.5''), 1000/cs in Black</t>
  </si>
  <si>
    <t>DU5006101</t>
  </si>
  <si>
    <t>Foam 6 x 5/8 Plate, 1000/cs</t>
  </si>
  <si>
    <t>DU5006199</t>
  </si>
  <si>
    <t>Foam 6'' x 5/8''   Plate , 1000/cs in Black</t>
  </si>
  <si>
    <t>DU5006501</t>
  </si>
  <si>
    <t>Foam 12 oz Bowl (6" x 1.81"), 1000/cs</t>
  </si>
  <si>
    <t>DU5006599</t>
  </si>
  <si>
    <t>Foam 12 oz Bowl (6'' x 1.81''), 1000/cs in Black</t>
  </si>
  <si>
    <t>DU5007101</t>
  </si>
  <si>
    <t>Foam 7 x 1.81 Plate , 1000/cs</t>
  </si>
  <si>
    <t>DU5007199</t>
  </si>
  <si>
    <t>Foam 7'  x 1.81' Plate , 1000/cs in Black</t>
  </si>
  <si>
    <t>DU5009101</t>
  </si>
  <si>
    <t>Foam 8 7/8  x 7/8, Plate, 500/cs</t>
  </si>
  <si>
    <t>DU5009199</t>
  </si>
  <si>
    <t>Foam 8 7/8''  x 7/8'', Plate, 500/cs in Black</t>
  </si>
  <si>
    <t>DU5009301</t>
  </si>
  <si>
    <t>Foam 8 7/8 x 7/8  Plate 3 comp., 500/cs</t>
  </si>
  <si>
    <t>DU5009399</t>
  </si>
  <si>
    <t>Foam 8 7/8'' x 7/8''  Plate 3 comp., 500/cs in Black</t>
  </si>
  <si>
    <t>DU5010101</t>
  </si>
  <si>
    <t>Foam 10 1/4 x 1 Plate, 500/cs</t>
  </si>
  <si>
    <t>DU5010199</t>
  </si>
  <si>
    <t>Foam 10 1/4'' x 1'' Plate, 500/cs in Black</t>
  </si>
  <si>
    <t>DU5010301</t>
  </si>
  <si>
    <t>Foam 10 1/4" x 1" Plate 3 comp., 500/cs</t>
  </si>
  <si>
    <t>DU5010399</t>
  </si>
  <si>
    <t>*Foam 10 1/4'' x 1'' Plate 3 comp., 500/cs in Black</t>
  </si>
  <si>
    <t>DU5010399D</t>
  </si>
  <si>
    <t>Foam 10 1/4'' x 1'' Plate 3 comp. Deep, 500/cs Black</t>
  </si>
  <si>
    <t>DU5005501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</si>
</sst>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Unicode MS"/>
    </font>
    <font>
      <b/>
      <sz val="10"/>
      <name val="Arial Unicode MS"/>
    </font>
    <font>
      <b/>
      <sz val="10"/>
      <color rgb="FFFFFFFF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38" fontId="1" fillId="2" borderId="1" xfId="0" applyNumberFormat="1" applyFont="1" applyFill="1" applyBorder="1"/>
    <xf numFmtId="0" fontId="2" fillId="3" borderId="0" xfId="0" applyFont="1" applyFill="1"/>
    <xf numFmtId="49" fontId="0" fillId="0" borderId="1" xfId="0" applyNumberFormat="1" applyBorder="1"/>
    <xf numFmtId="38" fontId="0" fillId="0" borderId="1" xfId="0" applyNumberFormat="1" applyBorder="1"/>
    <xf numFmtId="0" fontId="0" fillId="0" borderId="1" xfId="0" applyBorder="1"/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zarco_ajover_com/Documents/Microsoft%20Teams%20Chat%20Files/CS%20-%20BDL.xlsx" TargetMode="External"/><Relationship Id="rId2" Type="http://schemas.openxmlformats.org/officeDocument/2006/relationships/externalLinkPath" Target="https://ajovercom-my.sharepoint.com/personal/mzarco_ajover_com/Documents/Microsoft%20Teams%20Chat%20Files/CS%20-%20BDL.xlsx" TargetMode="External"/><Relationship Id="rId1" Type="http://schemas.openxmlformats.org/officeDocument/2006/relationships/externalLinkPath" Target="/personal/mzarco_ajover_com/Documents/Microsoft%20Teams%20Chat%20Files/CS%20-%20BD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Sheet2"/>
    </sheetNames>
    <sheetDataSet>
      <sheetData sheetId="0"/>
      <sheetData sheetId="1">
        <row r="1">
          <cell r="A1" t="str">
            <v>ID Artículo</v>
          </cell>
          <cell r="B1" t="str">
            <v>Descr</v>
          </cell>
          <cell r="C1" t="str">
            <v>UM</v>
          </cell>
          <cell r="D1" t="str">
            <v>Rel</v>
          </cell>
        </row>
        <row r="2">
          <cell r="A2" t="str">
            <v>DU405301-R004300</v>
          </cell>
          <cell r="B2" t="str">
            <v>*Q-3  White 200/cs (EMB/PELOTA CAFÉ)</v>
          </cell>
          <cell r="C2" t="str">
            <v>CS</v>
          </cell>
          <cell r="D2">
            <v>0.2</v>
          </cell>
        </row>
        <row r="3">
          <cell r="A3" t="str">
            <v>DU4061101</v>
          </cell>
          <cell r="B3" t="str">
            <v>!Foam S-1,9.0x9.0x3.1 Hing. Cont 200/cs</v>
          </cell>
          <cell r="C3" t="str">
            <v>CS</v>
          </cell>
          <cell r="D3">
            <v>0.2</v>
          </cell>
        </row>
        <row r="4">
          <cell r="A4" t="str">
            <v>DU4063199SLV</v>
          </cell>
          <cell r="B4" t="str">
            <v>S-3C Dual Compartmentalized Vented Foam Hinged Container, 9x</v>
          </cell>
          <cell r="C4" t="str">
            <v>CS</v>
          </cell>
          <cell r="D4">
            <v>0.2</v>
          </cell>
        </row>
        <row r="5">
          <cell r="A5" t="str">
            <v>DU4061199-R005577</v>
          </cell>
          <cell r="B5" t="str">
            <v>*!S-1  Black 200/cs (EMB/BAR LOUIE)      </v>
          </cell>
          <cell r="C5" t="str">
            <v>CS</v>
          </cell>
          <cell r="D5">
            <v>0.2</v>
          </cell>
        </row>
        <row r="6">
          <cell r="A6" t="str">
            <v>DU406199V-R005156</v>
          </cell>
          <cell r="B6" t="str">
            <v>*!S-1 Vented Black 200/cs (EMB/MERKS)</v>
          </cell>
          <cell r="C6" t="str">
            <v>CS</v>
          </cell>
          <cell r="D6">
            <v>0.2</v>
          </cell>
        </row>
        <row r="7">
          <cell r="A7" t="str">
            <v>DU40A101-R006752</v>
          </cell>
          <cell r="B7" t="str">
            <v>*!Y-1 White 200/cs (EMB/COOKOUT)</v>
          </cell>
          <cell r="C7" t="str">
            <v>CS</v>
          </cell>
          <cell r="D7">
            <v>0.2</v>
          </cell>
        </row>
        <row r="8">
          <cell r="A8" t="str">
            <v>DU40P101-R007029</v>
          </cell>
          <cell r="B8" t="str">
            <v>!Foam P-1, 6L x 3 ¼W x 1H White, 500/cs (EMB/KRYSTAL)</v>
          </cell>
          <cell r="C8" t="str">
            <v>CS</v>
          </cell>
          <cell r="D8">
            <v>0.5</v>
          </cell>
        </row>
        <row r="9">
          <cell r="A9" t="str">
            <v>DU5009101C3</v>
          </cell>
          <cell r="B9" t="str">
            <v>*Foam 8 7/8'x 7/8' Plate,600/cs PARTY DIMENSIONS LABEL</v>
          </cell>
          <cell r="C9" t="str">
            <v>CS</v>
          </cell>
          <cell r="D9">
            <v>0.6</v>
          </cell>
        </row>
        <row r="10">
          <cell r="A10" t="str">
            <v>DU5010301</v>
          </cell>
          <cell r="B10" t="str">
            <v>Foam 10 1/4" x 1" Plate 3 comp., 500/cs</v>
          </cell>
          <cell r="C10" t="str">
            <v>CS</v>
          </cell>
          <cell r="D10">
            <v>0.5</v>
          </cell>
        </row>
        <row r="11">
          <cell r="A11" t="str">
            <v>DU406301-R005484</v>
          </cell>
          <cell r="B11" t="str">
            <v>*!S-3  White 200/cs (EMB/El Bodegon)</v>
          </cell>
          <cell r="C11" t="str">
            <v>CS</v>
          </cell>
          <cell r="D11">
            <v>0.2</v>
          </cell>
        </row>
        <row r="12">
          <cell r="A12" t="str">
            <v>DU5009199</v>
          </cell>
          <cell r="B12" t="str">
            <v>Foam 8 7/8''  x 7/8'', Plate, 500/cs in Black</v>
          </cell>
          <cell r="C12" t="str">
            <v>CS</v>
          </cell>
          <cell r="D12">
            <v>0.5</v>
          </cell>
        </row>
        <row r="13">
          <cell r="A13" t="str">
            <v>DU403199HV-R007026</v>
          </cell>
          <cell r="B13" t="str">
            <v>*!M-205 Vented Heavy Duty Black 200/cs (EMB/HUNGRYAF)</v>
          </cell>
          <cell r="C13" t="str">
            <v>CS</v>
          </cell>
          <cell r="D13">
            <v>0.2</v>
          </cell>
        </row>
        <row r="14">
          <cell r="A14" t="str">
            <v>DU407301-R005247</v>
          </cell>
          <cell r="B14" t="str">
            <v>*U-3  White 200/cs (EMB/The Patio)</v>
          </cell>
          <cell r="C14" t="str">
            <v>CS</v>
          </cell>
          <cell r="D14">
            <v>0.2</v>
          </cell>
        </row>
        <row r="15">
          <cell r="A15" t="str">
            <v>DU405301-R004591</v>
          </cell>
          <cell r="B15" t="str">
            <v>*!Q-3  White 200/cs (EMB/TASTY BBQ)</v>
          </cell>
          <cell r="C15" t="str">
            <v>CS</v>
          </cell>
          <cell r="D15">
            <v>0.2</v>
          </cell>
        </row>
        <row r="16">
          <cell r="A16" t="str">
            <v>DU406199-R005512</v>
          </cell>
          <cell r="B16" t="str">
            <v>*!S-1  Black 200/cs (EMB/Arnis)</v>
          </cell>
          <cell r="C16" t="str">
            <v>CS</v>
          </cell>
          <cell r="D16">
            <v>0.2</v>
          </cell>
        </row>
        <row r="17">
          <cell r="A17" t="str">
            <v>DU4061101-R006183</v>
          </cell>
          <cell r="B17" t="str">
            <v>*!S-1  White 200/cs (EMB/NIKOS)</v>
          </cell>
          <cell r="C17" t="str">
            <v>CS</v>
          </cell>
          <cell r="D17">
            <v>0.2</v>
          </cell>
        </row>
        <row r="18">
          <cell r="A18" t="str">
            <v>DU403101H-R005921</v>
          </cell>
          <cell r="B18" t="str">
            <v>*!M-205HeavyDutyWhite200/cs(EMB/Double Kwik)</v>
          </cell>
          <cell r="C18" t="str">
            <v>CS</v>
          </cell>
          <cell r="D18">
            <v>0.2</v>
          </cell>
        </row>
        <row r="19">
          <cell r="A19" t="str">
            <v>DU4063101-R006359</v>
          </cell>
          <cell r="B19" t="str">
            <v>*!S-3  White 200/cs (EMB/POPPYSEEDS)</v>
          </cell>
          <cell r="C19" t="str">
            <v>CS</v>
          </cell>
          <cell r="D19">
            <v>0.2</v>
          </cell>
        </row>
        <row r="20">
          <cell r="A20" t="str">
            <v>DU4063101V-R006369</v>
          </cell>
          <cell r="B20" t="str">
            <v>*!S-3 Vented White 200/cs (EMB/BREAKFASTIME)</v>
          </cell>
          <cell r="C20" t="str">
            <v>CS</v>
          </cell>
          <cell r="D20">
            <v>0.2</v>
          </cell>
        </row>
        <row r="21">
          <cell r="A21" t="str">
            <v>DU405101-R005550</v>
          </cell>
          <cell r="B21" t="str">
            <v>*!Q-1White200/cs(EMB/Breakfastime)</v>
          </cell>
          <cell r="C21" t="str">
            <v>CS</v>
          </cell>
          <cell r="D21">
            <v>0.2</v>
          </cell>
        </row>
        <row r="22">
          <cell r="A22" t="str">
            <v>DU4061199-R007191</v>
          </cell>
          <cell r="B22" t="str">
            <v>!S-1 Black 200/cs (EMB/MiamiGrillFlamingo)</v>
          </cell>
          <cell r="C22" t="str">
            <v>CS</v>
          </cell>
          <cell r="D22">
            <v>0.2</v>
          </cell>
        </row>
        <row r="23">
          <cell r="A23" t="str">
            <v>DU4051101-R005550</v>
          </cell>
          <cell r="B23" t="str">
            <v>*!Q-1White200/cs(EMB/Breakfastime)</v>
          </cell>
          <cell r="C23" t="str">
            <v>CS</v>
          </cell>
          <cell r="D23">
            <v>0.2</v>
          </cell>
        </row>
        <row r="24">
          <cell r="A24" t="str">
            <v>DU403101HV-R005676</v>
          </cell>
          <cell r="B24" t="str">
            <v>*!M-205 Vented Heavy Duty White 200/cs (EMB/PENALTY BOX)</v>
          </cell>
          <cell r="C24" t="str">
            <v>CS</v>
          </cell>
          <cell r="D24">
            <v>0.2</v>
          </cell>
        </row>
        <row r="25">
          <cell r="A25" t="str">
            <v>DU406101-R004033</v>
          </cell>
          <cell r="B25" t="str">
            <v>*S-1  White 200/cs (EMB/INNER CIRCLE PIZZA)</v>
          </cell>
          <cell r="C25" t="str">
            <v>CS</v>
          </cell>
          <cell r="D25">
            <v>0.2</v>
          </cell>
        </row>
        <row r="26">
          <cell r="A26" t="str">
            <v>DU4061101-R007010</v>
          </cell>
          <cell r="B26" t="str">
            <v>!S-1 white 200/cs (EMB/EL NOPAL)</v>
          </cell>
          <cell r="C26" t="str">
            <v>CS</v>
          </cell>
          <cell r="D26">
            <v>0.2</v>
          </cell>
        </row>
        <row r="27">
          <cell r="A27" t="str">
            <v>DU4053199V-R006754</v>
          </cell>
          <cell r="B27" t="str">
            <v>!Q-3 Black VENTED 200/cs (EMB/PARKERSKITCHEN)</v>
          </cell>
          <cell r="C27" t="str">
            <v>CS</v>
          </cell>
          <cell r="D27">
            <v>0.2</v>
          </cell>
        </row>
        <row r="28">
          <cell r="A28" t="str">
            <v>DU4063199-R006350</v>
          </cell>
          <cell r="B28" t="str">
            <v>*!S-3  Black 200/cs (EMB/OAKPOINT)</v>
          </cell>
          <cell r="C28" t="str">
            <v>CS</v>
          </cell>
          <cell r="D28">
            <v>0.2</v>
          </cell>
        </row>
        <row r="29">
          <cell r="A29" t="str">
            <v>DU403199SHV</v>
          </cell>
          <cell r="B29" t="str">
            <v>*Foam M-206, 9.25 x 6.75 x 2.5 SHALLOW Single Comp black Ven</v>
          </cell>
          <cell r="C29" t="str">
            <v>CS</v>
          </cell>
          <cell r="D29">
            <v>0.2</v>
          </cell>
        </row>
        <row r="30">
          <cell r="A30" t="str">
            <v>DU406301-R005465</v>
          </cell>
          <cell r="B30" t="str">
            <v>*S-3  White 200/cs (EMB/VINE BROTHERS)</v>
          </cell>
          <cell r="C30" t="str">
            <v>CS</v>
          </cell>
          <cell r="D30">
            <v>0.2</v>
          </cell>
        </row>
        <row r="31">
          <cell r="A31" t="str">
            <v>DU408301-R004961</v>
          </cell>
          <cell r="B31" t="str">
            <v>*!O-3  White 200/cs (EMB/MASTER WORK)</v>
          </cell>
          <cell r="C31" t="str">
            <v>CS</v>
          </cell>
          <cell r="D31">
            <v>0.2</v>
          </cell>
        </row>
        <row r="32">
          <cell r="A32" t="str">
            <v>DU2014501A</v>
          </cell>
          <cell r="B32" t="str">
            <v>*CleanAdv.5CompTray500/cs</v>
          </cell>
          <cell r="C32" t="str">
            <v>CS</v>
          </cell>
          <cell r="D32">
            <v>0.5</v>
          </cell>
        </row>
        <row r="33">
          <cell r="A33" t="str">
            <v>DU406101-R005334</v>
          </cell>
          <cell r="B33" t="str">
            <v>*S-1  White 200/cs (EMB/MERLINS)</v>
          </cell>
          <cell r="C33" t="str">
            <v>CS</v>
          </cell>
          <cell r="D33">
            <v>0.2</v>
          </cell>
        </row>
        <row r="34">
          <cell r="A34" t="str">
            <v>DU406399-R004606</v>
          </cell>
          <cell r="B34" t="str">
            <v>*S-3  Black 200/cs (EMB/CHUTNEY JOE)</v>
          </cell>
          <cell r="C34" t="str">
            <v>CS</v>
          </cell>
          <cell r="D34">
            <v>0.2</v>
          </cell>
        </row>
        <row r="35">
          <cell r="A35" t="str">
            <v>DU405101-R005763</v>
          </cell>
          <cell r="B35" t="str">
            <v>*!Q-1  White 200/cs (EMB/LA GIRALDILLA)</v>
          </cell>
          <cell r="C35" t="str">
            <v>CS</v>
          </cell>
          <cell r="D35">
            <v>0.2</v>
          </cell>
        </row>
        <row r="36">
          <cell r="A36" t="str">
            <v>DU401101-R004318</v>
          </cell>
          <cell r="B36" t="str">
            <v>*G-1  White 500/cs (EMB/FRICKERS)</v>
          </cell>
          <cell r="C36" t="str">
            <v>CS</v>
          </cell>
          <cell r="D36">
            <v>0.5</v>
          </cell>
        </row>
        <row r="37">
          <cell r="A37" t="str">
            <v>DU403101-R004320</v>
          </cell>
          <cell r="B37" t="str">
            <v>*M-1  White 200/cs (EMB/FRICKERS)</v>
          </cell>
          <cell r="C37" t="str">
            <v>CS</v>
          </cell>
          <cell r="D37">
            <v>0.2</v>
          </cell>
        </row>
        <row r="38">
          <cell r="A38" t="str">
            <v>DU406199-R005130</v>
          </cell>
          <cell r="B38" t="str">
            <v>*!S-1  Black 200/cs (EMB/MCGUIRES OF DESTIN)</v>
          </cell>
          <cell r="C38" t="str">
            <v>CS</v>
          </cell>
          <cell r="D38">
            <v>0.2</v>
          </cell>
        </row>
        <row r="39">
          <cell r="A39" t="str">
            <v>DU406301-R004286</v>
          </cell>
          <cell r="B39" t="str">
            <v>*S-3  White 200/cs (EMB/ KINLAWS)</v>
          </cell>
          <cell r="C39" t="str">
            <v>CS</v>
          </cell>
          <cell r="D39">
            <v>0.2</v>
          </cell>
        </row>
        <row r="40">
          <cell r="A40" t="str">
            <v>DU405199V-R005485</v>
          </cell>
          <cell r="B40" t="str">
            <v>*!Q-1 Vented Black 200/cs (EMB/MIAMI SUBS)</v>
          </cell>
          <cell r="C40" t="str">
            <v>CS</v>
          </cell>
          <cell r="D40">
            <v>0.2</v>
          </cell>
        </row>
        <row r="41">
          <cell r="A41" t="str">
            <v>DU406199</v>
          </cell>
          <cell r="B41" t="str">
            <v>*Foam S-1,9.18''x9.18''x3'' Hing. Cont. , 200/cs in Black</v>
          </cell>
          <cell r="C41" t="str">
            <v>CS</v>
          </cell>
          <cell r="D41">
            <v>0.2</v>
          </cell>
        </row>
        <row r="42">
          <cell r="A42" t="str">
            <v>DU4061101V-R005214</v>
          </cell>
          <cell r="B42" t="str">
            <v>*!S-1 Vented White 200/cs (EMB/PIESANOS)</v>
          </cell>
          <cell r="C42" t="str">
            <v>CS</v>
          </cell>
          <cell r="D42">
            <v>0.2</v>
          </cell>
        </row>
        <row r="43">
          <cell r="A43" t="str">
            <v>DU406101-R004823</v>
          </cell>
          <cell r="B43" t="str">
            <v>*!S-1  White 200/cs (EMB/ MI RANCHO)</v>
          </cell>
          <cell r="C43" t="str">
            <v>CS</v>
          </cell>
          <cell r="D43">
            <v>0.2</v>
          </cell>
        </row>
        <row r="44">
          <cell r="A44" t="str">
            <v>DU5009301</v>
          </cell>
          <cell r="B44" t="str">
            <v>Foam 8 7/8 x 7/8  Plate 3 comp., 500/cs</v>
          </cell>
          <cell r="C44" t="str">
            <v>CS</v>
          </cell>
          <cell r="D44">
            <v>0.5</v>
          </cell>
        </row>
        <row r="45">
          <cell r="A45" t="str">
            <v>DU406199-R005219</v>
          </cell>
          <cell r="B45" t="str">
            <v>*!S-1  Black 200/cs (EMB/CRABSONTHEBEACH)</v>
          </cell>
          <cell r="C45" t="str">
            <v>CS</v>
          </cell>
          <cell r="D45">
            <v>0.2</v>
          </cell>
        </row>
        <row r="46">
          <cell r="A46" t="str">
            <v>DU4063101-R006457</v>
          </cell>
          <cell r="B46" t="str">
            <v>*!S-3  White 200/cs (EMB/FRENCHMANS CREEK)</v>
          </cell>
          <cell r="C46" t="str">
            <v>CS</v>
          </cell>
          <cell r="D46">
            <v>0.2</v>
          </cell>
        </row>
        <row r="47">
          <cell r="A47" t="str">
            <v>DU40B199</v>
          </cell>
          <cell r="B47" t="str">
            <v>A-102, 5.25 L x 8.31 W x 2.75 H, Rect. Single Comp. H/C, 20</v>
          </cell>
          <cell r="C47" t="str">
            <v>CS</v>
          </cell>
          <cell r="D47">
            <v>0.2</v>
          </cell>
        </row>
        <row r="48">
          <cell r="A48" t="str">
            <v>DU406101-R004977</v>
          </cell>
          <cell r="B48" t="str">
            <v>*S-1  White 200/cs (EMB/HARRY BUFFALO)</v>
          </cell>
          <cell r="C48" t="str">
            <v>CS</v>
          </cell>
          <cell r="D48">
            <v>0.2</v>
          </cell>
        </row>
        <row r="49">
          <cell r="A49" t="str">
            <v>DU4053101-R004141</v>
          </cell>
          <cell r="B49" t="str">
            <v>*!Q-3  White 200/cs (EMB/CHINESE PAGODA)</v>
          </cell>
          <cell r="C49" t="str">
            <v>CS</v>
          </cell>
          <cell r="D49">
            <v>0.2</v>
          </cell>
        </row>
        <row r="50">
          <cell r="A50" t="str">
            <v>DU4063199-R005404</v>
          </cell>
          <cell r="B50" t="str">
            <v>*!S-3  Black 200/cs (EMB/SHAPIROS)</v>
          </cell>
          <cell r="C50" t="str">
            <v>CS</v>
          </cell>
          <cell r="D50">
            <v>0.2</v>
          </cell>
        </row>
        <row r="51">
          <cell r="A51" t="str">
            <v>DU4053101</v>
          </cell>
          <cell r="B51" t="str">
            <v>Foam Q-3, 8.1x8.2x3.0 Hing. Cont. 3 Comp.,200/cs</v>
          </cell>
          <cell r="C51" t="str">
            <v>CS</v>
          </cell>
          <cell r="D51">
            <v>0.2</v>
          </cell>
        </row>
        <row r="52">
          <cell r="A52" t="str">
            <v>DU406301-R004808</v>
          </cell>
          <cell r="B52" t="str">
            <v>*S-3  White 200/cs (EMB/NICHE REST)</v>
          </cell>
          <cell r="C52" t="str">
            <v>CS</v>
          </cell>
          <cell r="D52">
            <v>0.2</v>
          </cell>
        </row>
        <row r="53">
          <cell r="A53" t="str">
            <v>DU405101C</v>
          </cell>
          <cell r="B53" t="str">
            <v>*Qualité Medium SingleComp 8.57 x 8.57 x 2.84 Hing.Cont 150/</v>
          </cell>
          <cell r="C53" t="str">
            <v>CS</v>
          </cell>
          <cell r="D53">
            <v>0.15</v>
          </cell>
        </row>
        <row r="54">
          <cell r="A54" t="str">
            <v>DU40A399</v>
          </cell>
          <cell r="B54" t="str">
            <v>Foam Y-3 7.5 Lx8W x 2.25H Rect 3 Comp H/C 200/cs Black</v>
          </cell>
          <cell r="C54" t="str">
            <v>CS</v>
          </cell>
          <cell r="D54">
            <v>0.2</v>
          </cell>
        </row>
        <row r="55">
          <cell r="A55" t="str">
            <v>DU40B199V-R004725</v>
          </cell>
          <cell r="B55" t="str">
            <v>*!A-102 VENTED  Black 200/cs (EMB/FRICKERS)</v>
          </cell>
          <cell r="C55" t="str">
            <v>CS</v>
          </cell>
          <cell r="D55">
            <v>0.2</v>
          </cell>
        </row>
        <row r="56">
          <cell r="A56" t="str">
            <v>DU406199-R005220</v>
          </cell>
          <cell r="B56" t="str">
            <v>*!S-1  Black 200/cs (EMB/FLOUNDERS)</v>
          </cell>
          <cell r="C56" t="str">
            <v>CS</v>
          </cell>
          <cell r="D56">
            <v>0.2</v>
          </cell>
        </row>
        <row r="57">
          <cell r="A57" t="str">
            <v>DU406399</v>
          </cell>
          <cell r="B57" t="str">
            <v>*Foam S-3,9.18''x9.18''x3''Hing.Cont.3 Comp.,200/cs in Black</v>
          </cell>
          <cell r="C57" t="str">
            <v>CS</v>
          </cell>
          <cell r="D57">
            <v>0.2</v>
          </cell>
        </row>
        <row r="58">
          <cell r="A58" t="str">
            <v>DU5209101</v>
          </cell>
          <cell r="B58" t="str">
            <v>*Foam 7'' x 9'' x 7/8'' Oval Platter, 500/cs</v>
          </cell>
          <cell r="C58" t="str">
            <v>CS</v>
          </cell>
          <cell r="D58">
            <v>0.5</v>
          </cell>
        </row>
        <row r="59">
          <cell r="A59" t="str">
            <v>DU403101H-R004811</v>
          </cell>
          <cell r="B59" t="str">
            <v>*M-205 Heavy Duty White 200/cs (EMB/EL SOMBRERO)</v>
          </cell>
          <cell r="C59" t="str">
            <v>CS</v>
          </cell>
          <cell r="D59">
            <v>0.2</v>
          </cell>
        </row>
        <row r="60">
          <cell r="A60" t="str">
            <v>DU406101C</v>
          </cell>
          <cell r="B60" t="str">
            <v>*Qualité Large Single Comp 9.18 x 9.18 x 3 Hing Cont 150/cs</v>
          </cell>
          <cell r="C60" t="str">
            <v>CS</v>
          </cell>
          <cell r="D60">
            <v>0.15</v>
          </cell>
        </row>
        <row r="61">
          <cell r="A61" t="str">
            <v>DU4051199V-R006076</v>
          </cell>
          <cell r="B61" t="str">
            <v>*!Q-1 Vented Black 200/cs (EMB/CAPTJAYS)</v>
          </cell>
          <cell r="C61" t="str">
            <v>CS</v>
          </cell>
          <cell r="D61">
            <v>0.2</v>
          </cell>
        </row>
        <row r="62">
          <cell r="A62" t="str">
            <v>DU406101-R005551</v>
          </cell>
          <cell r="B62" t="str">
            <v>*!S-1White200/cs(EMB/Breakfastime)</v>
          </cell>
          <cell r="C62" t="str">
            <v>CS</v>
          </cell>
          <cell r="D62">
            <v>0.2</v>
          </cell>
        </row>
        <row r="63">
          <cell r="A63" t="str">
            <v>DU5211199</v>
          </cell>
          <cell r="B63" t="str">
            <v>*Foam 9'x11'x7/8' Oval Platter, 500/cs in Black</v>
          </cell>
          <cell r="C63" t="str">
            <v>CS</v>
          </cell>
          <cell r="D63">
            <v>0.5</v>
          </cell>
        </row>
        <row r="64">
          <cell r="A64" t="str">
            <v>DU4063199-R007192</v>
          </cell>
          <cell r="B64" t="str">
            <v>!S-3 Black 200/cs (EMB/MiamiGrillFlamingo)</v>
          </cell>
          <cell r="C64" t="str">
            <v>CS</v>
          </cell>
          <cell r="D64">
            <v>0.2</v>
          </cell>
        </row>
        <row r="65">
          <cell r="A65" t="str">
            <v>DU409199</v>
          </cell>
          <cell r="B65" t="str">
            <v>!Foam D-1, 3.75'x7.125'x2' Hot Dog H/C, 500/cs in Black</v>
          </cell>
          <cell r="C65" t="str">
            <v>CS</v>
          </cell>
          <cell r="D65">
            <v>0.5</v>
          </cell>
        </row>
        <row r="66">
          <cell r="A66" t="str">
            <v>DU405199V-R004843</v>
          </cell>
          <cell r="B66" t="str">
            <v>*Q-1 Vented Black 200/cs (EMB/BURGER BARN)</v>
          </cell>
          <cell r="C66" t="str">
            <v>CS</v>
          </cell>
          <cell r="D66">
            <v>0.2</v>
          </cell>
        </row>
        <row r="67">
          <cell r="A67" t="str">
            <v>DU406102A-R005424</v>
          </cell>
          <cell r="B67" t="str">
            <v>*!Darnel Clean Advantage S-1, 200/cs (EMB/DADDY JACKS)</v>
          </cell>
          <cell r="C67" t="str">
            <v>CS</v>
          </cell>
          <cell r="D67">
            <v>0.2</v>
          </cell>
        </row>
        <row r="68">
          <cell r="A68" t="str">
            <v>DU406199V-R005546 </v>
          </cell>
          <cell r="B68" t="str">
            <v>*S-1 Black 200/cs (EMB/Willie Jewells BBQ)  </v>
          </cell>
          <cell r="C68" t="str">
            <v>CS</v>
          </cell>
          <cell r="D68">
            <v>0.2</v>
          </cell>
        </row>
        <row r="69">
          <cell r="A69" t="str">
            <v>DU404101-R006145</v>
          </cell>
          <cell r="B69" t="str">
            <v>*!F-1  White 500/cs (EMB/PALACIO JUGOS)</v>
          </cell>
          <cell r="C69" t="str">
            <v>CS</v>
          </cell>
          <cell r="D69">
            <v>0.5</v>
          </cell>
        </row>
        <row r="70">
          <cell r="A70" t="str">
            <v>DU407301</v>
          </cell>
          <cell r="B70" t="str">
            <v>*Foam U-3, 10''x10.25''x3.5'' 3 Comp. Xtra Large H/C ,200/cs</v>
          </cell>
          <cell r="C70" t="str">
            <v>CS</v>
          </cell>
          <cell r="D70">
            <v>0.2</v>
          </cell>
        </row>
        <row r="71">
          <cell r="A71" t="str">
            <v>DU406301-R005141</v>
          </cell>
          <cell r="B71" t="str">
            <v>*!S-3  White 200/cs (EMB/MUCHAS GRACIAS)</v>
          </cell>
          <cell r="C71" t="str">
            <v>CS</v>
          </cell>
          <cell r="D71">
            <v>0.2</v>
          </cell>
        </row>
        <row r="72">
          <cell r="A72" t="str">
            <v>DU4063101-R006358</v>
          </cell>
          <cell r="B72" t="str">
            <v>*!S-3  White 200/cs (EMB/ELBALCON)</v>
          </cell>
          <cell r="C72" t="str">
            <v>CS</v>
          </cell>
          <cell r="D72">
            <v>0.2</v>
          </cell>
        </row>
        <row r="73">
          <cell r="A73" t="str">
            <v>DU407301-R004599</v>
          </cell>
          <cell r="B73" t="str">
            <v>*U-3  White 200/cs (EMB/TASTY BBQ)</v>
          </cell>
          <cell r="C73" t="str">
            <v>CS</v>
          </cell>
          <cell r="D73">
            <v>0.2</v>
          </cell>
        </row>
        <row r="74">
          <cell r="A74" t="str">
            <v>DU403201-R005533</v>
          </cell>
          <cell r="B74" t="str">
            <v>*!M-2  White 200/cs (EMB/VINE BROTHERS)</v>
          </cell>
          <cell r="C74" t="str">
            <v>CS</v>
          </cell>
          <cell r="D74">
            <v>0.2</v>
          </cell>
        </row>
        <row r="75">
          <cell r="A75" t="str">
            <v>DU4061199V-R005948</v>
          </cell>
          <cell r="B75" t="str">
            <v>*!S-1 Vented Black 200/cs (EMB/</v>
          </cell>
          <cell r="C75" t="str">
            <v>CS</v>
          </cell>
          <cell r="D75">
            <v>0.2</v>
          </cell>
        </row>
        <row r="76">
          <cell r="A76" t="str">
            <v>DU406199-R005601</v>
          </cell>
          <cell r="B76" t="str">
            <v>*!S-1  Black 200/cs (EMB/MULLIGANS BEACH HOUSE)</v>
          </cell>
          <cell r="C76" t="str">
            <v>CS</v>
          </cell>
          <cell r="D76">
            <v>0.2</v>
          </cell>
        </row>
        <row r="77">
          <cell r="A77" t="str">
            <v>DU405101-R004588</v>
          </cell>
          <cell r="B77" t="str">
            <v>*!Q-1  White 200/cs (EMB/TASTY BBQ)</v>
          </cell>
          <cell r="C77" t="str">
            <v>CS</v>
          </cell>
          <cell r="D77">
            <v>0.2</v>
          </cell>
        </row>
        <row r="78">
          <cell r="A78" t="str">
            <v>DU406199V</v>
          </cell>
          <cell r="B78" t="str">
            <v>*Foam S-1 VENTED, 9.18'' x 9.18'' x 3'' , 200/cs (black)</v>
          </cell>
          <cell r="C78" t="str">
            <v>CS</v>
          </cell>
          <cell r="D78">
            <v>0.2</v>
          </cell>
        </row>
        <row r="79">
          <cell r="A79" t="str">
            <v>DU403199-R004139</v>
          </cell>
          <cell r="B79" t="str">
            <v>*M-1  Black 200/cs (EMB/CHINESE PAGODA)</v>
          </cell>
          <cell r="C79" t="str">
            <v>CS</v>
          </cell>
          <cell r="D79">
            <v>0.2</v>
          </cell>
        </row>
        <row r="80">
          <cell r="A80" t="str">
            <v>DU407399</v>
          </cell>
          <cell r="B80" t="str">
            <v>*Foam U-3,10'x10.25'x3.5'3 Comp. XtraL H/C ,200/cs inBlac</v>
          </cell>
          <cell r="C80" t="str">
            <v>CS</v>
          </cell>
          <cell r="D80">
            <v>0.2</v>
          </cell>
        </row>
        <row r="81">
          <cell r="A81" t="str">
            <v>DU406302A</v>
          </cell>
          <cell r="B81" t="str">
            <v>*Darnel Clean Advantage S-3, 9.18 x 9.18 x 3 Hing.Cont. 3 Co</v>
          </cell>
          <cell r="C81" t="str">
            <v>CS</v>
          </cell>
          <cell r="D81">
            <v>0.2</v>
          </cell>
        </row>
        <row r="82">
          <cell r="A82" t="str">
            <v>DU409199-R006753</v>
          </cell>
          <cell r="B82" t="str">
            <v>D-1 black 500/cs (EMB/COOKOUT)</v>
          </cell>
          <cell r="C82" t="str">
            <v>CS</v>
          </cell>
          <cell r="D82">
            <v>0.5</v>
          </cell>
        </row>
        <row r="83">
          <cell r="A83" t="str">
            <v>DU406301-R004262</v>
          </cell>
          <cell r="B83" t="str">
            <v>*S-3  White 200/cs (EMB/ PO BOYS)</v>
          </cell>
          <cell r="C83" t="str">
            <v>CS</v>
          </cell>
          <cell r="D83">
            <v>0.2</v>
          </cell>
        </row>
        <row r="84">
          <cell r="A84" t="str">
            <v>DU4061199V-R005215</v>
          </cell>
          <cell r="B84" t="str">
            <v>*!S-1 Vented Black 200/cs (EMB/EGGSMART)</v>
          </cell>
          <cell r="C84" t="str">
            <v>CS</v>
          </cell>
          <cell r="D84">
            <v>0.2</v>
          </cell>
        </row>
        <row r="85">
          <cell r="A85" t="str">
            <v>DU406101-R004807</v>
          </cell>
          <cell r="B85" t="str">
            <v>*!S-1  White 200/cs (EMB/FLEUR DE LIS)</v>
          </cell>
          <cell r="C85" t="str">
            <v>CS</v>
          </cell>
          <cell r="D85">
            <v>0.2</v>
          </cell>
        </row>
        <row r="86">
          <cell r="A86" t="str">
            <v>DU4061101-R006726</v>
          </cell>
          <cell r="B86" t="str">
            <v>!S-1 white 200/cs (EMB/CASA GRANDE</v>
          </cell>
          <cell r="C86" t="str">
            <v>CS</v>
          </cell>
          <cell r="D86">
            <v>0.2</v>
          </cell>
        </row>
        <row r="87">
          <cell r="A87" t="str">
            <v>DU4053101V</v>
          </cell>
          <cell r="B87" t="str">
            <v>Foam Q-3 Vented, 8.1x8.2x3.0, 200/cs (White)</v>
          </cell>
          <cell r="C87" t="str">
            <v>CS</v>
          </cell>
          <cell r="D87">
            <v>0.2</v>
          </cell>
        </row>
        <row r="88">
          <cell r="A88" t="str">
            <v>DU4063199V-R007130</v>
          </cell>
          <cell r="B88" t="str">
            <v>S-3  Black Vented 200/cs (EMB/HANNAH SMOKE HOUSE)</v>
          </cell>
          <cell r="C88" t="str">
            <v>CS</v>
          </cell>
          <cell r="D88">
            <v>0.2</v>
          </cell>
        </row>
        <row r="89">
          <cell r="A89" t="str">
            <v>DU405301-R004141</v>
          </cell>
          <cell r="B89" t="str">
            <v>*!Q-3  White 200/cs (EMB/CHINESE PAGODA)</v>
          </cell>
          <cell r="C89" t="str">
            <v>CS</v>
          </cell>
          <cell r="D89">
            <v>0.2</v>
          </cell>
        </row>
        <row r="90">
          <cell r="A90" t="str">
            <v>DU406199V-R005160</v>
          </cell>
          <cell r="B90" t="str">
            <v>*S-1 Vented Black 200/cs (EMB/WING BUCKET)</v>
          </cell>
          <cell r="C90" t="str">
            <v>CS</v>
          </cell>
          <cell r="D90">
            <v>0.2</v>
          </cell>
        </row>
        <row r="91">
          <cell r="A91" t="str">
            <v>DU406199-R004471</v>
          </cell>
          <cell r="B91" t="str">
            <v>*S-1  Black 200/cs (EMB/CAPT WHITE)</v>
          </cell>
          <cell r="C91" t="str">
            <v>CS</v>
          </cell>
          <cell r="D91">
            <v>0.2</v>
          </cell>
        </row>
        <row r="92">
          <cell r="A92" t="str">
            <v>DU5007599</v>
          </cell>
          <cell r="B92" t="str">
            <v>*Foam 20 oz Bowl (7'x 2.03'), 1000/cs in Black</v>
          </cell>
          <cell r="C92" t="str">
            <v>CS</v>
          </cell>
          <cell r="D92">
            <v>1</v>
          </cell>
        </row>
        <row r="93">
          <cell r="A93" t="str">
            <v>DU40A399-R006335</v>
          </cell>
          <cell r="B93" t="str">
            <v>*!Y-3Black200/cs(EMB/MANDARIN EXPRESS)</v>
          </cell>
          <cell r="C93" t="str">
            <v>CS</v>
          </cell>
          <cell r="D93">
            <v>0.2</v>
          </cell>
        </row>
        <row r="94">
          <cell r="A94" t="str">
            <v>DU406101V-R005072</v>
          </cell>
          <cell r="B94" t="str">
            <v>*!S-1 Vented White 200/cs (EMB/LUCILLES BBQ)</v>
          </cell>
          <cell r="C94" t="str">
            <v>CS</v>
          </cell>
          <cell r="D94">
            <v>0.2</v>
          </cell>
        </row>
        <row r="95">
          <cell r="A95" t="str">
            <v>DU403101SV</v>
          </cell>
          <cell r="B95" t="str">
            <v>*Foam MS-1VENTED,9.25'x6.5'x2.5'Rect.Shallow,200/cs(white</v>
          </cell>
          <cell r="C95" t="str">
            <v>CS</v>
          </cell>
          <cell r="D95">
            <v>0.2</v>
          </cell>
        </row>
        <row r="96">
          <cell r="A96" t="str">
            <v>DU4051199V-R005321</v>
          </cell>
          <cell r="B96" t="str">
            <v>*!Q-1 Vented Black 200/cs (EMB/BONOSBBQ)</v>
          </cell>
          <cell r="C96" t="str">
            <v>CS</v>
          </cell>
          <cell r="D96">
            <v>0.2</v>
          </cell>
        </row>
        <row r="97">
          <cell r="A97" t="str">
            <v>DU4063199-R006362</v>
          </cell>
          <cell r="B97" t="str">
            <v>*!S-3  Black 200/cs (EMB/ROBERTS)</v>
          </cell>
          <cell r="C97" t="str">
            <v>CS</v>
          </cell>
          <cell r="D97">
            <v>0.2</v>
          </cell>
        </row>
        <row r="98">
          <cell r="A98" t="str">
            <v>DU5006199</v>
          </cell>
          <cell r="B98" t="str">
            <v>Foam 6'' x 5/8''   Plate , 1000/cs in Black</v>
          </cell>
          <cell r="C98" t="str">
            <v>CS</v>
          </cell>
          <cell r="D98">
            <v>1</v>
          </cell>
        </row>
        <row r="99">
          <cell r="A99" t="str">
            <v>DU409101</v>
          </cell>
          <cell r="B99" t="str">
            <v>Foam D-1, 3.75''x7.125''x2'' Hot Dog H/C, 500/cs</v>
          </cell>
          <cell r="C99" t="str">
            <v>CS</v>
          </cell>
          <cell r="D99">
            <v>0.5</v>
          </cell>
        </row>
        <row r="100">
          <cell r="A100" t="str">
            <v>DU4011199</v>
          </cell>
          <cell r="B100" t="str">
            <v>*Foam G-1,6.25x6.25x3.22Hing.Cont.,500/cs in Black</v>
          </cell>
          <cell r="C100" t="str">
            <v>CS</v>
          </cell>
          <cell r="D100">
            <v>0.5</v>
          </cell>
        </row>
        <row r="101">
          <cell r="A101" t="str">
            <v>DU4063199-R006149</v>
          </cell>
          <cell r="B101" t="str">
            <v>!S-3  Black 200/cs (EMB/ROUSES MARKETS)</v>
          </cell>
          <cell r="C101" t="str">
            <v>CS</v>
          </cell>
          <cell r="D101">
            <v>0.2</v>
          </cell>
        </row>
        <row r="102">
          <cell r="A102" t="str">
            <v>DU5009102A</v>
          </cell>
          <cell r="B102" t="str">
            <v>*9'' Clean Advantage plate 500/cs</v>
          </cell>
          <cell r="C102" t="str">
            <v>CS</v>
          </cell>
          <cell r="D102">
            <v>0.5</v>
          </cell>
        </row>
        <row r="103">
          <cell r="A103" t="str">
            <v>DU403199SH-R004608</v>
          </cell>
          <cell r="B103" t="str">
            <v>*M-206 Heavy Duty Black 200/cs (EMB/CHUTNEY JOE)</v>
          </cell>
          <cell r="C103" t="str">
            <v>CS</v>
          </cell>
          <cell r="D103">
            <v>0.2</v>
          </cell>
        </row>
        <row r="104">
          <cell r="A104" t="str">
            <v>DU4051199V</v>
          </cell>
          <cell r="B104" t="str">
            <v>Foam Q-1 Vented, 8.1x8.2x3.0, 200/cs (Black)</v>
          </cell>
          <cell r="C104" t="str">
            <v>CS</v>
          </cell>
          <cell r="D104">
            <v>0.2</v>
          </cell>
        </row>
        <row r="105">
          <cell r="A105" t="str">
            <v>DU4061199V-R005565</v>
          </cell>
          <cell r="B105" t="str">
            <v>*!S-1 Vented Black 200/cs (EMB/WING DADDY)</v>
          </cell>
          <cell r="C105" t="str">
            <v>CS</v>
          </cell>
          <cell r="D105">
            <v>0.2</v>
          </cell>
        </row>
        <row r="106">
          <cell r="A106" t="str">
            <v>DU403101H-R004690</v>
          </cell>
          <cell r="B106" t="str">
            <v>*!M-205 Heavy Duty White 200/cs (EMB/DON HALLS)</v>
          </cell>
          <cell r="C106" t="str">
            <v>CS</v>
          </cell>
          <cell r="D106">
            <v>0.2</v>
          </cell>
        </row>
        <row r="107">
          <cell r="A107" t="str">
            <v>DU403101V</v>
          </cell>
          <cell r="B107" t="str">
            <v>*Foam M-1 VENTED, 9.25'x6.5'x2.875' Rect., 200/cs (white)</v>
          </cell>
          <cell r="C107" t="str">
            <v>CS</v>
          </cell>
          <cell r="D107">
            <v>0.2</v>
          </cell>
        </row>
        <row r="108">
          <cell r="A108" t="str">
            <v>DU405301-R005487</v>
          </cell>
          <cell r="B108" t="str">
            <v>*!Q-3White200/cs(EMB/VINEBROTHERS)</v>
          </cell>
          <cell r="C108" t="str">
            <v>CS</v>
          </cell>
          <cell r="D108">
            <v>0.2</v>
          </cell>
        </row>
        <row r="109">
          <cell r="A109" t="str">
            <v>DU4061199-R005220</v>
          </cell>
          <cell r="B109" t="str">
            <v>*!S-1  Black 200/cs (EMB/FLOUNDERS)</v>
          </cell>
          <cell r="C109" t="str">
            <v>CS</v>
          </cell>
          <cell r="D109">
            <v>0.2</v>
          </cell>
        </row>
        <row r="110">
          <cell r="A110" t="str">
            <v>DU4051101V</v>
          </cell>
          <cell r="B110" t="str">
            <v>Foam Q-1 Vented, 8.1x8.2x3.0, 200/cs (White)</v>
          </cell>
          <cell r="C110" t="str">
            <v>CS</v>
          </cell>
          <cell r="D110">
            <v>0.2</v>
          </cell>
        </row>
        <row r="111">
          <cell r="A111" t="str">
            <v>DU4063199V-R006431</v>
          </cell>
          <cell r="B111" t="str">
            <v>*!S-3 Vented Black 200/cs (EMB/GOLDFINGERS)</v>
          </cell>
          <cell r="C111" t="str">
            <v>CS</v>
          </cell>
          <cell r="D111">
            <v>0.2</v>
          </cell>
        </row>
        <row r="112">
          <cell r="A112" t="str">
            <v>DU4061199V-R006307</v>
          </cell>
          <cell r="B112" t="str">
            <v>*!S-1 Vented Black 200/cs (EMB/SIDELINES)</v>
          </cell>
          <cell r="C112" t="str">
            <v>CS</v>
          </cell>
          <cell r="D112">
            <v>0.2</v>
          </cell>
        </row>
        <row r="113">
          <cell r="A113" t="str">
            <v>DU4063199-R006372</v>
          </cell>
          <cell r="B113" t="str">
            <v>*!S-3  Black 200/cs (EMB/CARTERS)</v>
          </cell>
          <cell r="C113" t="str">
            <v>CS</v>
          </cell>
          <cell r="D113">
            <v>0.2</v>
          </cell>
        </row>
        <row r="114">
          <cell r="A114" t="str">
            <v>DU401199-R007124</v>
          </cell>
          <cell r="B114" t="str">
            <v>!G-1 Black 500/cs(EMB/DWC)</v>
          </cell>
          <cell r="C114" t="str">
            <v>CS</v>
          </cell>
          <cell r="D114">
            <v>0.5</v>
          </cell>
        </row>
        <row r="115">
          <cell r="A115" t="str">
            <v>DU405399-R005490</v>
          </cell>
          <cell r="B115" t="str">
            <v>*!Q-3  Black 200/cs (EMB/RAMEY’S) </v>
          </cell>
          <cell r="C115" t="str">
            <v>CS</v>
          </cell>
          <cell r="D115">
            <v>0.2</v>
          </cell>
        </row>
        <row r="116">
          <cell r="A116" t="str">
            <v>DU407101</v>
          </cell>
          <cell r="B116" t="str">
            <v>*Foam U-1,10''x10.25''x3.5'' SingleComp.Xtra LargeH/C,200/cs</v>
          </cell>
          <cell r="C116" t="str">
            <v>CS</v>
          </cell>
          <cell r="D116">
            <v>0.2</v>
          </cell>
        </row>
        <row r="117">
          <cell r="A117" t="str">
            <v>DU4061199V-R005320</v>
          </cell>
          <cell r="B117" t="str">
            <v>*!S-1 Vented Black 200/cs (EMB/BONOSBBQ)</v>
          </cell>
          <cell r="C117" t="str">
            <v>CS</v>
          </cell>
          <cell r="D117">
            <v>0.2</v>
          </cell>
        </row>
        <row r="118">
          <cell r="A118" t="str">
            <v>DU403101H</v>
          </cell>
          <cell r="B118" t="str">
            <v>Foam M-205, 9.25'' x 6.75'' x 2.75'' H/C, 200/cs Heavy Duty</v>
          </cell>
          <cell r="C118" t="str">
            <v>CS</v>
          </cell>
          <cell r="D118">
            <v>0.2</v>
          </cell>
        </row>
        <row r="119">
          <cell r="A119" t="str">
            <v>DU4053101S</v>
          </cell>
          <cell r="B119" t="str">
            <v>*Foam QS-3, 8.1x8x2.36 3 Comp. Low Dividers H/C, 200/cs</v>
          </cell>
          <cell r="C119" t="str">
            <v>CS</v>
          </cell>
          <cell r="D119">
            <v>0.2</v>
          </cell>
        </row>
        <row r="120">
          <cell r="A120" t="str">
            <v>DU406301-R005456</v>
          </cell>
          <cell r="B120" t="str">
            <v>*!S-3  White 200/cs (EMB/FRANKS SMOKEHOUSE)</v>
          </cell>
          <cell r="C120" t="str">
            <v>CS</v>
          </cell>
          <cell r="D120">
            <v>0.2</v>
          </cell>
        </row>
        <row r="121">
          <cell r="A121" t="str">
            <v>DU406101-R004813</v>
          </cell>
          <cell r="B121" t="str">
            <v>*S-1  White 200/cs (EMB/NICHE REST)</v>
          </cell>
          <cell r="C121" t="str">
            <v>CS</v>
          </cell>
          <cell r="D121">
            <v>0.2</v>
          </cell>
        </row>
        <row r="122">
          <cell r="A122" t="str">
            <v>DU4061199V-R007158</v>
          </cell>
          <cell r="B122" t="str">
            <v>  !S-1 Vented Black 200/cs (EMB/Divine Dining)</v>
          </cell>
          <cell r="C122" t="str">
            <v>CS</v>
          </cell>
          <cell r="D122">
            <v>0.2</v>
          </cell>
        </row>
        <row r="123">
          <cell r="A123" t="str">
            <v>DU4061199V-R007055</v>
          </cell>
          <cell r="B123" t="str">
            <v>!S-1 Vented Black 200/cs (EMB/LOGANS)</v>
          </cell>
          <cell r="C123" t="str">
            <v>CS</v>
          </cell>
          <cell r="D123">
            <v>0.2</v>
          </cell>
        </row>
        <row r="124">
          <cell r="A124" t="str">
            <v>DU407199V</v>
          </cell>
          <cell r="B124" t="str">
            <v>*Foam U-1 Vented,10x10.25x3.5 Single Comp. Xtra Large H/C,20</v>
          </cell>
          <cell r="C124" t="str">
            <v>CS</v>
          </cell>
          <cell r="D124">
            <v>0.2</v>
          </cell>
        </row>
        <row r="125">
          <cell r="A125" t="str">
            <v>DU406101-R005220</v>
          </cell>
          <cell r="B125" t="str">
            <v>*S-1  White 200/cs (EMB/FLOUNDERS)</v>
          </cell>
          <cell r="C125" t="str">
            <v>CS</v>
          </cell>
          <cell r="D125">
            <v>0.2</v>
          </cell>
        </row>
        <row r="126">
          <cell r="A126" t="str">
            <v>DU2014501</v>
          </cell>
          <cell r="B126" t="str">
            <v>5 Compartment School Lunch Tray (10.4''x8.4''x1.1''),500/cs</v>
          </cell>
          <cell r="C126" t="str">
            <v>CS</v>
          </cell>
          <cell r="D126">
            <v>0.5</v>
          </cell>
        </row>
        <row r="127">
          <cell r="A127" t="str">
            <v>DU4053199V</v>
          </cell>
          <cell r="B127" t="str">
            <v>Foam Q-3 Vented, 8.1x8.2x3.0, 200/cs (Black)</v>
          </cell>
          <cell r="C127" t="str">
            <v>CS</v>
          </cell>
          <cell r="D127">
            <v>0.2</v>
          </cell>
        </row>
        <row r="128">
          <cell r="A128" t="str">
            <v>DU405201</v>
          </cell>
          <cell r="B128" t="str">
            <v>*Foam Q-2, 8.57''x 8.57''x 2.84'' Hing. Cont. 2 Comp., 200/c</v>
          </cell>
          <cell r="C128" t="str">
            <v>CS</v>
          </cell>
          <cell r="D128">
            <v>0.2</v>
          </cell>
        </row>
        <row r="129">
          <cell r="A129" t="str">
            <v>DU406101-R004940</v>
          </cell>
          <cell r="B129" t="str">
            <v>*S-1  White 200/cs (EMB/WILD WING)</v>
          </cell>
          <cell r="C129" t="str">
            <v>CS</v>
          </cell>
          <cell r="D129">
            <v>0.2</v>
          </cell>
        </row>
        <row r="130">
          <cell r="A130" t="str">
            <v>DU403101</v>
          </cell>
          <cell r="B130" t="str">
            <v>*Foam M-1, 9.25''x6.5''x2.875'' Rect. Single Comp.H/C, 200/c</v>
          </cell>
          <cell r="C130" t="str">
            <v>CS</v>
          </cell>
          <cell r="D130">
            <v>0.2</v>
          </cell>
        </row>
        <row r="131">
          <cell r="A131" t="str">
            <v>DU4061101V-R005072</v>
          </cell>
          <cell r="B131" t="str">
            <v>*!S-1 Vented White 200/cs (EMB/LUCILLES BBQ)</v>
          </cell>
          <cell r="C131" t="str">
            <v>CS</v>
          </cell>
          <cell r="D131">
            <v>0.2</v>
          </cell>
        </row>
        <row r="132">
          <cell r="A132" t="str">
            <v>DU407201-R004598</v>
          </cell>
          <cell r="B132" t="str">
            <v>*U-2  White 200/cs (EMB/TASTY BBQ)</v>
          </cell>
          <cell r="C132" t="str">
            <v>CS</v>
          </cell>
          <cell r="D132">
            <v>0.2</v>
          </cell>
        </row>
        <row r="133">
          <cell r="A133" t="str">
            <v>DU405399SC</v>
          </cell>
          <cell r="B133" t="str">
            <v>*Foam QSC-3,8'x8'x2.375' 3Comp.Xtra LowDiv. H/C,200/cs Bl</v>
          </cell>
          <cell r="C133" t="str">
            <v>CS</v>
          </cell>
          <cell r="D133">
            <v>0.2</v>
          </cell>
        </row>
        <row r="134">
          <cell r="A134" t="str">
            <v>DU5009101</v>
          </cell>
          <cell r="B134" t="str">
            <v>Foam 8 7/8  x 7/8, Plate, 500/cs</v>
          </cell>
          <cell r="C134" t="str">
            <v>CS</v>
          </cell>
          <cell r="D134">
            <v>0.5</v>
          </cell>
        </row>
        <row r="135">
          <cell r="A135" t="str">
            <v>DU4051199V-R006940</v>
          </cell>
          <cell r="B135" t="str">
            <v>!Q-1 Vented Black 200/cs (EMB/MIAMI GRILL)</v>
          </cell>
          <cell r="C135" t="str">
            <v>CS</v>
          </cell>
          <cell r="D135">
            <v>0.2</v>
          </cell>
        </row>
        <row r="136">
          <cell r="A136" t="str">
            <v>DU406199V-R005948</v>
          </cell>
          <cell r="B136" t="str">
            <v>*!S-1 Vented Black 200/cs (EMB/EGGSMART)</v>
          </cell>
          <cell r="C136" t="str">
            <v>CS</v>
          </cell>
          <cell r="D136">
            <v>0.2</v>
          </cell>
        </row>
        <row r="137">
          <cell r="A137" t="str">
            <v>DU4063199</v>
          </cell>
          <cell r="B137" t="str">
            <v>Foam S-3, 9.0'' x 9.0'' x 3.1 Hing. Cont. 3 Comp., 200/cs</v>
          </cell>
          <cell r="C137" t="str">
            <v>CS</v>
          </cell>
          <cell r="D137">
            <v>0.2</v>
          </cell>
        </row>
        <row r="138">
          <cell r="A138" t="str">
            <v>DU5006501</v>
          </cell>
          <cell r="B138" t="str">
            <v>Foam 12 oz Bowl (6" x 1.81"), 1000/cs</v>
          </cell>
          <cell r="C138" t="str">
            <v>CS</v>
          </cell>
          <cell r="D138">
            <v>1</v>
          </cell>
        </row>
        <row r="139">
          <cell r="A139" t="str">
            <v>DU5010199</v>
          </cell>
          <cell r="B139" t="str">
            <v>Foam 10 1/4'' x 1'' Plate, 500/cs in Black</v>
          </cell>
          <cell r="C139" t="str">
            <v>CS</v>
          </cell>
          <cell r="D139">
            <v>0.5</v>
          </cell>
        </row>
        <row r="140">
          <cell r="A140" t="str">
            <v>DU405301V</v>
          </cell>
          <cell r="B140" t="str">
            <v>*Foam Q-3 VENTED, 8.57'' x 8.57'' x 2.84'' , 200/cs (white)</v>
          </cell>
          <cell r="C140" t="str">
            <v>CS</v>
          </cell>
          <cell r="D140">
            <v>0.2</v>
          </cell>
        </row>
        <row r="141">
          <cell r="A141" t="str">
            <v>DU40A101</v>
          </cell>
          <cell r="B141" t="str">
            <v>*Foam Y-1, 7.5 L x 8W x 2.25H Rect. H/C 200/cs</v>
          </cell>
          <cell r="C141" t="str">
            <v>CS</v>
          </cell>
          <cell r="D141">
            <v>0.2</v>
          </cell>
        </row>
        <row r="142">
          <cell r="A142" t="str">
            <v>DU405101S</v>
          </cell>
          <cell r="B142" t="str">
            <v>*Foam QS-1, 8''x8''x2.375''SingleComp.Low Dividers H/C,200/c</v>
          </cell>
          <cell r="C142" t="str">
            <v>CS</v>
          </cell>
          <cell r="D142">
            <v>0.2</v>
          </cell>
        </row>
        <row r="143">
          <cell r="A143" t="str">
            <v>DU4051101S</v>
          </cell>
          <cell r="B143" t="str">
            <v>*Foam QS-1, 8.1x8.2x2.36 1 Comp. Low Dividers H/C, 200/cs</v>
          </cell>
          <cell r="C143" t="str">
            <v>CS</v>
          </cell>
          <cell r="D143">
            <v>0.2</v>
          </cell>
        </row>
        <row r="144">
          <cell r="A144" t="str">
            <v>DU4053102A</v>
          </cell>
          <cell r="B144" t="str">
            <v>*Darnel Clean Advantage Q-3,8.1x8.2x3.0 Hing.Cont 3 Comp. 20</v>
          </cell>
          <cell r="C144" t="str">
            <v>CS</v>
          </cell>
          <cell r="D144">
            <v>0.2</v>
          </cell>
        </row>
        <row r="145">
          <cell r="A145" t="str">
            <v>DU403101SHV</v>
          </cell>
          <cell r="B145" t="str">
            <v>Foam M206 VENTED, 9.25x6.75x2.5 Rect., 200/cs</v>
          </cell>
          <cell r="C145" t="str">
            <v>CS</v>
          </cell>
          <cell r="D145">
            <v>0.2</v>
          </cell>
        </row>
        <row r="146">
          <cell r="A146" t="str">
            <v>DU408301-R004235</v>
          </cell>
          <cell r="B146" t="str">
            <v>*!O-3  White 200/cs (EMB/CHINESE PAGODA)</v>
          </cell>
          <cell r="C146" t="str">
            <v>CS</v>
          </cell>
          <cell r="D146">
            <v>0.2</v>
          </cell>
        </row>
        <row r="147">
          <cell r="A147" t="str">
            <v>DU5006102A</v>
          </cell>
          <cell r="B147" t="str">
            <v>*6'' Clean Advantage plate 1000/cs</v>
          </cell>
          <cell r="C147" t="str">
            <v>CS</v>
          </cell>
          <cell r="D147">
            <v>1</v>
          </cell>
        </row>
        <row r="148">
          <cell r="A148" t="str">
            <v>DU4063101</v>
          </cell>
          <cell r="B148" t="str">
            <v>FoamS-3,9.0” x 9.0” x 3.1Hing.Cont.3Comp.,200/cs</v>
          </cell>
          <cell r="C148" t="str">
            <v>CS</v>
          </cell>
          <cell r="D148">
            <v>0.2</v>
          </cell>
        </row>
        <row r="149">
          <cell r="A149" t="str">
            <v>DU4063199V-R005486</v>
          </cell>
          <cell r="B149" t="str">
            <v>*!S-3 Vented Black 200/cs (EMB/MIAMI SUBS)</v>
          </cell>
          <cell r="C149" t="str">
            <v>CS</v>
          </cell>
          <cell r="D149">
            <v>0.2</v>
          </cell>
        </row>
        <row r="150">
          <cell r="A150" t="str">
            <v>DU405301SC</v>
          </cell>
          <cell r="B150" t="str">
            <v>*Foam QSC-3, 8''x8''x2.375'' 3Comp.Xtra LowDivider H/C,200/c</v>
          </cell>
          <cell r="C150" t="str">
            <v>CS</v>
          </cell>
          <cell r="D150">
            <v>0.2</v>
          </cell>
        </row>
        <row r="151">
          <cell r="A151" t="str">
            <v>DU4061199V-R007181</v>
          </cell>
          <cell r="B151" t="str">
            <v>!S-1 Black Vented 200/cs (EMB/ASPEN CREEK)</v>
          </cell>
          <cell r="C151" t="str">
            <v>CS</v>
          </cell>
          <cell r="D151">
            <v>0.2</v>
          </cell>
        </row>
        <row r="152">
          <cell r="A152" t="str">
            <v>DU4053101C</v>
          </cell>
          <cell r="B152" t="str">
            <v>Qualité Medium 3 Comp 8.1 x 8.2 x 3.0 Hing Cont 150/cs</v>
          </cell>
          <cell r="C152" t="str">
            <v>CS</v>
          </cell>
          <cell r="D152">
            <v>0.15</v>
          </cell>
        </row>
        <row r="153">
          <cell r="A153" t="str">
            <v>DU406199-R005282</v>
          </cell>
          <cell r="B153" t="str">
            <v>*!S-1  Black 200/cs (EMB/EL TACO TOTE)</v>
          </cell>
          <cell r="C153" t="str">
            <v>CS</v>
          </cell>
          <cell r="D153">
            <v>0.2</v>
          </cell>
        </row>
        <row r="154">
          <cell r="A154" t="str">
            <v>DU4053101-R006504</v>
          </cell>
          <cell r="B154" t="str">
            <v>*!Q-3  White 200/cs (EMB/HAVE A NICE DAY)</v>
          </cell>
          <cell r="C154" t="str">
            <v>CS</v>
          </cell>
          <cell r="D154">
            <v>0.2</v>
          </cell>
        </row>
        <row r="155">
          <cell r="A155" t="str">
            <v>DU5005501C1</v>
          </cell>
          <cell r="B155" t="str">
            <v>*Foam 5oz Bowl(4.75'x1.5')1000/cs PARTY DIMENSIONS LABEL</v>
          </cell>
          <cell r="C155" t="str">
            <v>CS</v>
          </cell>
          <cell r="D155">
            <v>1</v>
          </cell>
        </row>
        <row r="156">
          <cell r="A156" t="str">
            <v>DU4061102A-R005424</v>
          </cell>
          <cell r="B156" t="str">
            <v>*!Darnel Clean Advantage S-1, 2</v>
          </cell>
          <cell r="C156" t="str">
            <v>CS</v>
          </cell>
          <cell r="D156">
            <v>0.2</v>
          </cell>
        </row>
        <row r="157">
          <cell r="A157" t="str">
            <v>DU40B199V-R004900</v>
          </cell>
          <cell r="B157" t="str">
            <v>*!A-102 Vented Black 200/cs (EMB/OASIS)</v>
          </cell>
          <cell r="C157" t="str">
            <v>CS</v>
          </cell>
          <cell r="D157">
            <v>0.2</v>
          </cell>
        </row>
        <row r="158">
          <cell r="A158" t="str">
            <v>DU4063102A</v>
          </cell>
          <cell r="B158" t="str">
            <v>*Darnel Clean Advantage S-3, 9.0''x9.0''x3.1'' Hing.Cont 3Co</v>
          </cell>
          <cell r="C158" t="str">
            <v>CS</v>
          </cell>
          <cell r="D158">
            <v>0.2</v>
          </cell>
        </row>
        <row r="159">
          <cell r="A159" t="str">
            <v>DU403201</v>
          </cell>
          <cell r="B159" t="str">
            <v>!Foam M-2, 9.25''x6.5''x2.875'' Rect. 2 Comp. H/C,200/cs</v>
          </cell>
          <cell r="C159" t="str">
            <v>CS</v>
          </cell>
          <cell r="D159">
            <v>0.2</v>
          </cell>
        </row>
        <row r="160">
          <cell r="A160" t="str">
            <v>DU5005502A</v>
          </cell>
          <cell r="B160" t="str">
            <v>*Clean Advantage 5 oz Bowl (4.75''x1.5''), 1000/cs</v>
          </cell>
          <cell r="C160" t="str">
            <v>CS</v>
          </cell>
          <cell r="D160">
            <v>1</v>
          </cell>
        </row>
        <row r="161">
          <cell r="A161" t="str">
            <v>DU405199V</v>
          </cell>
          <cell r="B161" t="str">
            <v>*Foam Q-1 VENTED, 8.57' x 8.57' x 2.84' , 200/cs (black)</v>
          </cell>
          <cell r="C161" t="str">
            <v>CS</v>
          </cell>
          <cell r="D161">
            <v>0.2</v>
          </cell>
        </row>
        <row r="162">
          <cell r="A162" t="str">
            <v>DU401101-R005064</v>
          </cell>
          <cell r="B162" t="str">
            <v>*G-1  White 500/cs (EMB/BROOKLYN WATER BAGELS)</v>
          </cell>
          <cell r="C162" t="str">
            <v>CS</v>
          </cell>
          <cell r="D162">
            <v>0.5</v>
          </cell>
        </row>
        <row r="163">
          <cell r="A163" t="str">
            <v>DU4053199-R006490</v>
          </cell>
          <cell r="B163" t="str">
            <v>*!Q-3  Black 200/cs (EMB/JAMBALAYA SHOPPE)</v>
          </cell>
          <cell r="C163" t="str">
            <v>CS</v>
          </cell>
          <cell r="D163">
            <v>0.2</v>
          </cell>
        </row>
        <row r="164">
          <cell r="A164" t="str">
            <v>DU403199V</v>
          </cell>
          <cell r="B164" t="str">
            <v>*Foam M-1 VENTED, 9.25''x6.5''x2.875'' Rect., 200/cs (black)</v>
          </cell>
          <cell r="C164" t="str">
            <v>CS</v>
          </cell>
          <cell r="D164">
            <v>0.2</v>
          </cell>
        </row>
        <row r="165">
          <cell r="A165" t="str">
            <v>DU4063101-R007117</v>
          </cell>
          <cell r="B165" t="str">
            <v>!S-3 White 200/cs (EMB/El Balcon De Las Americas)</v>
          </cell>
          <cell r="C165" t="str">
            <v>CS</v>
          </cell>
          <cell r="D165">
            <v>0.2</v>
          </cell>
        </row>
        <row r="166">
          <cell r="A166" t="str">
            <v>DU4051199S-R007058</v>
          </cell>
          <cell r="B166" t="str">
            <v>*Foam QS-1, Black  200/cs (EMB/COOKOUT)</v>
          </cell>
          <cell r="C166" t="str">
            <v>CS</v>
          </cell>
          <cell r="D166">
            <v>0.2</v>
          </cell>
        </row>
        <row r="167">
          <cell r="A167" t="str">
            <v>DU4063199V-R006366</v>
          </cell>
          <cell r="B167" t="str">
            <v>*!S-3  Black Vented 200/cs (EMB/DICKRBBQ)</v>
          </cell>
          <cell r="C167" t="str">
            <v>CS</v>
          </cell>
          <cell r="D167">
            <v>0.2</v>
          </cell>
        </row>
        <row r="168">
          <cell r="A168" t="str">
            <v>DU403299-R004607</v>
          </cell>
          <cell r="B168" t="str">
            <v>*M-2  Black 200/cs (EMB/CHUTNEY JOE)</v>
          </cell>
          <cell r="C168" t="str">
            <v>CS</v>
          </cell>
          <cell r="D168">
            <v>0.2</v>
          </cell>
        </row>
        <row r="169">
          <cell r="A169" t="str">
            <v>DU405201-R004590</v>
          </cell>
          <cell r="B169" t="str">
            <v>*Q-2  White 200/cs (EMB/TASTY BBQ)</v>
          </cell>
          <cell r="C169" t="str">
            <v>CS</v>
          </cell>
          <cell r="D169">
            <v>0.2</v>
          </cell>
        </row>
        <row r="170">
          <cell r="A170" t="str">
            <v>DU4051199</v>
          </cell>
          <cell r="B170" t="str">
            <v>Foam Q-1, 8.1x8.2x3.0 Hing. Cont. 200/cs in Black</v>
          </cell>
          <cell r="C170" t="str">
            <v>CS</v>
          </cell>
          <cell r="D170">
            <v>0.2</v>
          </cell>
        </row>
        <row r="171">
          <cell r="A171" t="str">
            <v>DU406101V-R005503</v>
          </cell>
          <cell r="B171" t="str">
            <v>*!S-1 Vented White 200/cs (EMB/LATIN RESTAURANT) </v>
          </cell>
          <cell r="C171" t="str">
            <v>CS</v>
          </cell>
          <cell r="D171">
            <v>0.2</v>
          </cell>
        </row>
        <row r="172">
          <cell r="A172" t="str">
            <v>DU405301-R004179</v>
          </cell>
          <cell r="B172" t="str">
            <v>*Q-3  White 200/cs (EMB/PIG)</v>
          </cell>
          <cell r="C172" t="str">
            <v>CS</v>
          </cell>
          <cell r="D172">
            <v>0.2</v>
          </cell>
        </row>
        <row r="173">
          <cell r="A173" t="str">
            <v>DU40B101</v>
          </cell>
          <cell r="B173" t="str">
            <v>A-102, 5.25 L x 8.31 W x 2.75 H, Rect. Single Comp. H/C,200</v>
          </cell>
          <cell r="C173" t="str">
            <v>CS</v>
          </cell>
          <cell r="D173">
            <v>0.2</v>
          </cell>
        </row>
        <row r="174">
          <cell r="A174" t="str">
            <v>DU406101-R005208</v>
          </cell>
          <cell r="B174" t="str">
            <v>*S-1  White 200/cs (EMB/EL POLLO RICO)</v>
          </cell>
          <cell r="C174" t="str">
            <v>CS</v>
          </cell>
          <cell r="D174">
            <v>0.2</v>
          </cell>
        </row>
        <row r="175">
          <cell r="A175" t="str">
            <v>DU405101</v>
          </cell>
          <cell r="B175" t="str">
            <v>*Foam Q-1, 8.57'' x 8.57'' x 2.84'' Hing. Cont. , 200/cs</v>
          </cell>
          <cell r="C175" t="str">
            <v>CS</v>
          </cell>
          <cell r="D175">
            <v>0.2</v>
          </cell>
        </row>
        <row r="176">
          <cell r="A176" t="str">
            <v>DU407301V</v>
          </cell>
          <cell r="B176" t="str">
            <v>*Foam U-3 Vented,10x10.25x3.5, 3 Comp. Xtra Large H/C ,200/c</v>
          </cell>
          <cell r="C176" t="str">
            <v>CS</v>
          </cell>
          <cell r="D176">
            <v>0.2</v>
          </cell>
        </row>
        <row r="177">
          <cell r="A177" t="str">
            <v>DU4061101C</v>
          </cell>
          <cell r="B177" t="str">
            <v>Qualité Large Single Comp 9.18 x 9.18 x 3 Hing Cont 150/cs</v>
          </cell>
          <cell r="C177" t="str">
            <v>CS</v>
          </cell>
          <cell r="D177">
            <v>0.15</v>
          </cell>
        </row>
        <row r="178">
          <cell r="A178" t="str">
            <v>DU406101V-R005499 </v>
          </cell>
          <cell r="B178" t="str">
            <v>*S-1 Vented White 200/cs (EMB/EL ATLAKAT)</v>
          </cell>
          <cell r="C178" t="str">
            <v>CS</v>
          </cell>
          <cell r="D178">
            <v>0.2</v>
          </cell>
        </row>
        <row r="179">
          <cell r="A179" t="str">
            <v>DU407399SLV-R06846</v>
          </cell>
          <cell r="B179" t="str">
            <v>!U-3C Dual Compartmentalized Black Vented (EMB/LEE’S),200/cs</v>
          </cell>
          <cell r="C179" t="str">
            <v>CS</v>
          </cell>
          <cell r="D179">
            <v>0.2</v>
          </cell>
        </row>
        <row r="180">
          <cell r="A180" t="str">
            <v>DU406101-R004594</v>
          </cell>
          <cell r="B180" t="str">
            <v>*!S-1  White 200/cs (EMB/TASTY BBQ)</v>
          </cell>
          <cell r="C180" t="str">
            <v>CS</v>
          </cell>
          <cell r="D180">
            <v>0.2</v>
          </cell>
        </row>
        <row r="181">
          <cell r="A181" t="str">
            <v>DU406301</v>
          </cell>
          <cell r="B181" t="str">
            <v>*Foam S-3, 9.18'' x 9.18'' x 3'' Hing. Cont. 3 Comp., 200/cs</v>
          </cell>
          <cell r="C181" t="str">
            <v>CS</v>
          </cell>
          <cell r="D181">
            <v>0.2</v>
          </cell>
        </row>
        <row r="182">
          <cell r="A182" t="str">
            <v>DU403101HV</v>
          </cell>
          <cell r="B182" t="str">
            <v>FoamM205 VENTED,9.25'' x 6.75'' x 2.75''Rect.Shallow,200/cs</v>
          </cell>
          <cell r="C182" t="str">
            <v>CS</v>
          </cell>
          <cell r="D182">
            <v>0.2</v>
          </cell>
        </row>
        <row r="183">
          <cell r="A183" t="str">
            <v>DU403199H-R005773</v>
          </cell>
          <cell r="B183" t="str">
            <v>*!M-205 Heavy Duty Black 200/cs (EMB/EL TORO)</v>
          </cell>
          <cell r="C183" t="str">
            <v>CS</v>
          </cell>
          <cell r="D183">
            <v>0.2</v>
          </cell>
        </row>
        <row r="184">
          <cell r="A184" t="str">
            <v>DU4053101-R006996</v>
          </cell>
          <cell r="B184" t="str">
            <v>!Q-3  White 200/cs (EMB/KRYSTAL)</v>
          </cell>
          <cell r="C184" t="str">
            <v>CS</v>
          </cell>
          <cell r="D184">
            <v>0.2</v>
          </cell>
        </row>
        <row r="185">
          <cell r="A185" t="str">
            <v>DU401101-R005253</v>
          </cell>
          <cell r="B185" t="str">
            <v>*G-1  White 500/cs (EMB/FOXS PIZZA DEN)</v>
          </cell>
          <cell r="C185" t="str">
            <v>CS</v>
          </cell>
          <cell r="D185">
            <v>0.5</v>
          </cell>
        </row>
        <row r="186">
          <cell r="A186" t="str">
            <v>DU4061199</v>
          </cell>
          <cell r="B186" t="str">
            <v>Foam S-1, 9.0” x 9.0” x 3.1”Hing. Cont. 1 Comp., 200/cs</v>
          </cell>
          <cell r="C186" t="str">
            <v>CS</v>
          </cell>
          <cell r="D186">
            <v>0.2</v>
          </cell>
        </row>
        <row r="187">
          <cell r="A187" t="str">
            <v>DU4053199</v>
          </cell>
          <cell r="B187" t="str">
            <v>Foam Q-3, 8.1x8.2x3.0 Hing. Cont. 3 Comp., 200/cs Black</v>
          </cell>
          <cell r="C187" t="str">
            <v>CS</v>
          </cell>
          <cell r="D187">
            <v>0.2</v>
          </cell>
        </row>
        <row r="188">
          <cell r="A188" t="str">
            <v>DU4061199-R006405</v>
          </cell>
          <cell r="B188" t="str">
            <v>*!S-1  Black 200/cs (EMB/DAYLIGHT DONUTS)</v>
          </cell>
          <cell r="C188" t="str">
            <v>CS</v>
          </cell>
          <cell r="D188">
            <v>0.2</v>
          </cell>
        </row>
        <row r="189">
          <cell r="A189" t="str">
            <v>DU40B199V</v>
          </cell>
          <cell r="B189" t="str">
            <v>*A-102 Vented Black 200/cs</v>
          </cell>
          <cell r="C189" t="str">
            <v>CS</v>
          </cell>
          <cell r="D189">
            <v>0.2</v>
          </cell>
        </row>
        <row r="190">
          <cell r="A190" t="str">
            <v>DU405201-R005358</v>
          </cell>
          <cell r="B190" t="str">
            <v>*!Q-2  White 200/cs (EMB/LONE STAR)</v>
          </cell>
          <cell r="C190" t="str">
            <v>CS</v>
          </cell>
          <cell r="D190">
            <v>0.2</v>
          </cell>
        </row>
        <row r="191">
          <cell r="A191" t="str">
            <v>DU5007101</v>
          </cell>
          <cell r="B191" t="str">
            <v>Foam 7 x 1.81 Plate , 1000/cs</v>
          </cell>
          <cell r="C191" t="str">
            <v>CS</v>
          </cell>
          <cell r="D191">
            <v>1</v>
          </cell>
        </row>
        <row r="192">
          <cell r="A192" t="str">
            <v>DU401199-R006265</v>
          </cell>
          <cell r="B192" t="str">
            <v>*!G-1  Black 500/cs (EMB/ALEXS)</v>
          </cell>
          <cell r="C192" t="str">
            <v>CS</v>
          </cell>
          <cell r="D192">
            <v>0.5</v>
          </cell>
        </row>
        <row r="193">
          <cell r="A193" t="str">
            <v>DU405301-R005207</v>
          </cell>
          <cell r="B193" t="str">
            <v>*Q-3  White 200/cs (EMB/EL POLLO RICO)</v>
          </cell>
          <cell r="C193" t="str">
            <v>CS</v>
          </cell>
          <cell r="D193">
            <v>0.2</v>
          </cell>
        </row>
        <row r="194">
          <cell r="A194" t="str">
            <v>DU403101S</v>
          </cell>
          <cell r="B194" t="str">
            <v>*Foam MS-1,9.25''x6.5''x2.5'' Rect.Shallow 1 Comp.H/C,200/cs</v>
          </cell>
          <cell r="C194" t="str">
            <v>CS</v>
          </cell>
          <cell r="D194">
            <v>0.2</v>
          </cell>
        </row>
        <row r="195">
          <cell r="A195" t="str">
            <v>DU405301SC-R004593</v>
          </cell>
          <cell r="B195" t="str">
            <v>*QSC-3  White 200/cs (EMB/TASTY BBQ)</v>
          </cell>
          <cell r="C195" t="str">
            <v>CS</v>
          </cell>
          <cell r="D195">
            <v>0.2</v>
          </cell>
        </row>
        <row r="196">
          <cell r="A196" t="str">
            <v>DU40A101V</v>
          </cell>
          <cell r="B196" t="str">
            <v>*Foam Y-1 7.5 x 8 x 2.25 Rect 1 comp H/C 200/cs White Vented</v>
          </cell>
          <cell r="C196" t="str">
            <v>CS</v>
          </cell>
          <cell r="D196">
            <v>0.2</v>
          </cell>
        </row>
        <row r="197">
          <cell r="A197" t="str">
            <v>DU403199HV-R007189</v>
          </cell>
          <cell r="B197" t="str">
            <v>!M-205 Vent Black 200/cs (EMB/HueyMagoos)</v>
          </cell>
          <cell r="C197" t="str">
            <v>CS</v>
          </cell>
          <cell r="D197">
            <v>0.2</v>
          </cell>
        </row>
        <row r="198">
          <cell r="A198" t="str">
            <v>DU407101V-R006420</v>
          </cell>
          <cell r="B198" t="str">
            <v>*!U-1  White VENTED 200/cs (EMB/LUCILLES BBQ)</v>
          </cell>
          <cell r="C198" t="str">
            <v>CS</v>
          </cell>
          <cell r="D198">
            <v>0.2</v>
          </cell>
        </row>
        <row r="199">
          <cell r="A199" t="str">
            <v>DU4061199-R006133</v>
          </cell>
          <cell r="B199" t="str">
            <v>*!S-1  Black 200/cs (EMB/LAWLERSBBQ)</v>
          </cell>
          <cell r="C199" t="str">
            <v>CS</v>
          </cell>
          <cell r="D199">
            <v>0.2</v>
          </cell>
        </row>
        <row r="200">
          <cell r="A200" t="str">
            <v>DU407301V-R005247 </v>
          </cell>
          <cell r="B200" t="str">
            <v>*U-3 Vented White200/cs(EMB/ThePatio)           </v>
          </cell>
          <cell r="C200" t="str">
            <v>CS</v>
          </cell>
          <cell r="D200">
            <v>0.2</v>
          </cell>
        </row>
        <row r="201">
          <cell r="A201" t="str">
            <v>DU405101-R003922</v>
          </cell>
          <cell r="B201" t="str">
            <v>*Q-1  White 200/cs (EMB/ ANTONE)</v>
          </cell>
          <cell r="C201" t="str">
            <v>CS</v>
          </cell>
          <cell r="D201">
            <v>0.2</v>
          </cell>
        </row>
        <row r="202">
          <cell r="A202" t="str">
            <v>DU401199-R004318</v>
          </cell>
          <cell r="B202" t="str">
            <v>*!G-1  Black 500/cs (EMB/FRICKERS)</v>
          </cell>
          <cell r="C202" t="str">
            <v>CS</v>
          </cell>
          <cell r="D202">
            <v>0.5</v>
          </cell>
        </row>
        <row r="203">
          <cell r="A203" t="str">
            <v>DU405301-R005468</v>
          </cell>
          <cell r="B203" t="str">
            <v>*!Q-3 White 200/cs (EMB/Cannatas)</v>
          </cell>
          <cell r="C203" t="str">
            <v>CS</v>
          </cell>
          <cell r="D203">
            <v>0.2</v>
          </cell>
        </row>
        <row r="204">
          <cell r="A204" t="str">
            <v>DU407199V-R007108</v>
          </cell>
          <cell r="B204" t="str">
            <v>!U-1 Vented Black 200/cs (EMB/SKYLINE)</v>
          </cell>
          <cell r="C204" t="str">
            <v>CS</v>
          </cell>
          <cell r="D204">
            <v>0.2</v>
          </cell>
        </row>
        <row r="205">
          <cell r="A205" t="str">
            <v>DU406101V</v>
          </cell>
          <cell r="B205" t="str">
            <v>*Foam S-1 VENTED, 9.18'' x 9.18'' x 3'' , 200/cs (white)</v>
          </cell>
          <cell r="C205" t="str">
            <v>CS</v>
          </cell>
          <cell r="D205">
            <v>0.2</v>
          </cell>
        </row>
        <row r="206">
          <cell r="A206" t="str">
            <v>DU405301S-R004592</v>
          </cell>
          <cell r="B206" t="str">
            <v>*QS-3  White 200/cs (EMB/TASTY BBQ)</v>
          </cell>
          <cell r="C206" t="str">
            <v>CS</v>
          </cell>
          <cell r="D206">
            <v>0.2</v>
          </cell>
        </row>
        <row r="207">
          <cell r="A207" t="str">
            <v>DU4061199-R005658</v>
          </cell>
          <cell r="B207" t="str">
            <v>*!S-1 Black 200/cs (EMB/BIG WHISKEY)</v>
          </cell>
          <cell r="C207" t="str">
            <v>CS</v>
          </cell>
          <cell r="D207">
            <v>0.2</v>
          </cell>
        </row>
        <row r="208">
          <cell r="A208" t="str">
            <v>DU4061101V-R006235</v>
          </cell>
          <cell r="B208" t="str">
            <v>*!S-1 Vented White 200/cs (EMB/BIRD ROAD)</v>
          </cell>
          <cell r="C208" t="str">
            <v>CS</v>
          </cell>
          <cell r="D208">
            <v>0.2</v>
          </cell>
        </row>
        <row r="209">
          <cell r="A209" t="str">
            <v>DU4053101V-R007149</v>
          </cell>
          <cell r="B209" t="str">
            <v>Q-3 Vented White 200/cs (EMB/JET)</v>
          </cell>
          <cell r="C209" t="str">
            <v>CS</v>
          </cell>
          <cell r="D209">
            <v>0.2</v>
          </cell>
        </row>
        <row r="210">
          <cell r="A210" t="str">
            <v>DU4011101</v>
          </cell>
          <cell r="B210" t="str">
            <v>*Foam G-1, 6.25 x 6.25 x 3.22 Hing. Cont., 500/cs</v>
          </cell>
          <cell r="C210" t="str">
            <v>CS</v>
          </cell>
          <cell r="D210">
            <v>0.5</v>
          </cell>
        </row>
        <row r="211">
          <cell r="A211" t="str">
            <v>DU4051101-R006479</v>
          </cell>
          <cell r="B211" t="str">
            <v>!Q-1 White 200/cs (EMB/IMOsPizza)</v>
          </cell>
          <cell r="C211" t="str">
            <v>CS</v>
          </cell>
          <cell r="D211">
            <v>0.2</v>
          </cell>
        </row>
        <row r="212">
          <cell r="A212" t="str">
            <v>DU403199H-R005770</v>
          </cell>
          <cell r="B212" t="str">
            <v>*!M-205 Heavy Duty Black 200/cs (EMB/TACO TOTE!)</v>
          </cell>
          <cell r="C212" t="str">
            <v>CS</v>
          </cell>
          <cell r="D212">
            <v>0.2</v>
          </cell>
        </row>
        <row r="213">
          <cell r="A213" t="str">
            <v>DU407101V</v>
          </cell>
          <cell r="B213" t="str">
            <v>Foam U-1 Vented,10x10.25x3.5 Single Comp. Xtra LargeH/C,200</v>
          </cell>
          <cell r="C213" t="str">
            <v>CS</v>
          </cell>
          <cell r="D213">
            <v>0.2</v>
          </cell>
        </row>
        <row r="214">
          <cell r="A214" t="str">
            <v>DU406199V-R005215</v>
          </cell>
          <cell r="B214" t="str">
            <v>*!S-1 Vented Black 200/cs (EMB/EGGSMART)</v>
          </cell>
          <cell r="C214" t="str">
            <v>CS</v>
          </cell>
          <cell r="D214">
            <v>0.2</v>
          </cell>
        </row>
        <row r="215">
          <cell r="A215" t="str">
            <v>DU406101V-R00555</v>
          </cell>
          <cell r="B215" t="str">
            <v>*!S-1VentedWhite200/cs(EMB/PenaltyBox)</v>
          </cell>
          <cell r="C215" t="str">
            <v>CS</v>
          </cell>
          <cell r="D215">
            <v>0.2</v>
          </cell>
        </row>
        <row r="216">
          <cell r="A216" t="str">
            <v>DU4053101-R006836</v>
          </cell>
          <cell r="B216" t="str">
            <v>*!Q-3  White 200/cs (EMB/VOWELL’s FAMILY)</v>
          </cell>
          <cell r="C216" t="str">
            <v>CS</v>
          </cell>
          <cell r="D216">
            <v>0.2</v>
          </cell>
        </row>
        <row r="217">
          <cell r="A217" t="str">
            <v>DU403101HV-R004845</v>
          </cell>
          <cell r="B217" t="str">
            <v>*M-205 Vented Heavy Duty White 200/cs (EMB/OASIS)</v>
          </cell>
          <cell r="C217" t="str">
            <v>CS</v>
          </cell>
          <cell r="D217">
            <v>0.2</v>
          </cell>
        </row>
        <row r="218">
          <cell r="A218" t="str">
            <v>DU4063199-R005141</v>
          </cell>
          <cell r="B218" t="str">
            <v>!S-3Black200/cs(EMB/MUCHASGRACIAS)</v>
          </cell>
          <cell r="C218" t="str">
            <v>CS</v>
          </cell>
          <cell r="D218">
            <v>0.2</v>
          </cell>
        </row>
        <row r="219">
          <cell r="A219" t="str">
            <v>DU406199V-R004815</v>
          </cell>
          <cell r="B219" t="str">
            <v>*!S-1 Vented Black 200/cs (EMB/BURGER BARN)</v>
          </cell>
          <cell r="C219" t="str">
            <v>CS</v>
          </cell>
          <cell r="D219">
            <v>0.2</v>
          </cell>
        </row>
        <row r="220">
          <cell r="A220" t="str">
            <v>DU406301V</v>
          </cell>
          <cell r="B220" t="str">
            <v>*Foam S-3 VENTED, 9.18'' x 9.18'' x 3'' , 200/cs (white)</v>
          </cell>
          <cell r="C220" t="str">
            <v>CS</v>
          </cell>
          <cell r="D220">
            <v>0.2</v>
          </cell>
        </row>
        <row r="221">
          <cell r="A221" t="str">
            <v>DU406301-R004814</v>
          </cell>
          <cell r="B221" t="str">
            <v>*S-3  White 200/cs (EMB/CHAMPS)</v>
          </cell>
          <cell r="C221" t="str">
            <v>CS</v>
          </cell>
          <cell r="D221">
            <v>0.2</v>
          </cell>
        </row>
        <row r="222">
          <cell r="A222" t="str">
            <v>DU403299</v>
          </cell>
          <cell r="B222" t="str">
            <v>*Foam M-2, 9.25''x6.5''x2.875'' Rect. 2Comp. H/C,200/cs Blac</v>
          </cell>
          <cell r="C222" t="str">
            <v>CS</v>
          </cell>
          <cell r="D222">
            <v>0.2</v>
          </cell>
        </row>
        <row r="223">
          <cell r="A223" t="str">
            <v>DU406301-R005081</v>
          </cell>
          <cell r="B223" t="str">
            <v>*!S-3  White 200/cs (EMB/DIXIE GRILL)</v>
          </cell>
          <cell r="C223" t="str">
            <v>CS</v>
          </cell>
          <cell r="D223">
            <v>0.2</v>
          </cell>
        </row>
        <row r="224">
          <cell r="A224" t="str">
            <v>DU4061199-R005130</v>
          </cell>
          <cell r="B224" t="str">
            <v>*!S-1  Black 200/cs (EMB/MCGUIRES)</v>
          </cell>
          <cell r="C224" t="str">
            <v>CS</v>
          </cell>
          <cell r="D224">
            <v>0.2</v>
          </cell>
        </row>
        <row r="225">
          <cell r="A225" t="str">
            <v>DU403199HV-R006432</v>
          </cell>
          <cell r="B225" t="str">
            <v>*!M-205 Vented Heavy Duty Black 200/cs (EMB/GOLDFINGERS)</v>
          </cell>
          <cell r="C225" t="str">
            <v>CS</v>
          </cell>
          <cell r="D225">
            <v>0.2</v>
          </cell>
        </row>
        <row r="226">
          <cell r="A226" t="str">
            <v>DU4063101V-R006419</v>
          </cell>
          <cell r="B226" t="str">
            <v>*!S-3 Vented White 200/cs (EMB/TAYS)</v>
          </cell>
          <cell r="C226" t="str">
            <v>CS</v>
          </cell>
          <cell r="D226">
            <v>0.2</v>
          </cell>
        </row>
        <row r="227">
          <cell r="A227" t="str">
            <v>DU4061102A-R006486</v>
          </cell>
          <cell r="B227" t="str">
            <v>*!Darnel Clean Advantage S-1, 200/cs (EMB/Northern Lights Pi</v>
          </cell>
          <cell r="C227" t="str">
            <v>CS</v>
          </cell>
          <cell r="D227">
            <v>0.2</v>
          </cell>
        </row>
        <row r="228">
          <cell r="A228" t="str">
            <v>DU40B101V</v>
          </cell>
          <cell r="B228" t="str">
            <v>A-102 Vented, 5.25 L x 8.31 W x 2.75 H, Rect. Single Comp.</v>
          </cell>
          <cell r="C228" t="str">
            <v>CS</v>
          </cell>
          <cell r="D228">
            <v>0.2</v>
          </cell>
        </row>
        <row r="229">
          <cell r="A229" t="str">
            <v>DU406101V-R005500</v>
          </cell>
          <cell r="B229" t="str">
            <v>*S-1 Vented White 200/cs (EMB/El Floridita)          </v>
          </cell>
          <cell r="C229" t="str">
            <v>CS</v>
          </cell>
          <cell r="D229">
            <v>0.2</v>
          </cell>
        </row>
        <row r="230">
          <cell r="A230" t="str">
            <v>DU4061101-R006348</v>
          </cell>
          <cell r="B230" t="str">
            <v>*!S-1  White 200/cs (EMB/DIXIE CHILI)</v>
          </cell>
          <cell r="C230" t="str">
            <v>CS</v>
          </cell>
          <cell r="D230">
            <v>0.2</v>
          </cell>
        </row>
        <row r="231">
          <cell r="A231" t="str">
            <v>DU407299V</v>
          </cell>
          <cell r="B231" t="str">
            <v>*Foam U-2 Vented,10x10.25x3.5, 2 Comp. Xtra-L H/C ,200/cs Bl</v>
          </cell>
          <cell r="C231" t="str">
            <v>CS</v>
          </cell>
          <cell r="D231">
            <v>0.2</v>
          </cell>
        </row>
        <row r="232">
          <cell r="A232" t="str">
            <v>DU404101-R005076</v>
          </cell>
          <cell r="B232" t="str">
            <v>*!F-1  White 500/cs (EMB/CHAMPS)</v>
          </cell>
          <cell r="C232" t="str">
            <v>CS</v>
          </cell>
          <cell r="D232">
            <v>0.5</v>
          </cell>
        </row>
        <row r="233">
          <cell r="A233" t="str">
            <v>DU406301-R004572</v>
          </cell>
          <cell r="B233" t="str">
            <v>*S-3  White 200/cs (EMB/HURSEY S BAR-B-Q)</v>
          </cell>
          <cell r="C233" t="str">
            <v>CS</v>
          </cell>
          <cell r="D233">
            <v>0.2</v>
          </cell>
        </row>
        <row r="234">
          <cell r="A234" t="str">
            <v>DU404199</v>
          </cell>
          <cell r="B234" t="str">
            <v>!Foam F-1, 5.125''x10.25''x3.25'' Hoagie H/C, 500/cs in Blac</v>
          </cell>
          <cell r="C234" t="str">
            <v>CS</v>
          </cell>
          <cell r="D234">
            <v>0.5</v>
          </cell>
        </row>
        <row r="235">
          <cell r="A235" t="str">
            <v>DU4061199-R005512</v>
          </cell>
          <cell r="B235" t="str">
            <v>*!S-1  Black 200/cs (EMB/Arnis)</v>
          </cell>
          <cell r="C235" t="str">
            <v>CS</v>
          </cell>
          <cell r="D235">
            <v>0.2</v>
          </cell>
        </row>
        <row r="236">
          <cell r="A236" t="str">
            <v>DU401102A</v>
          </cell>
          <cell r="B236" t="str">
            <v>*Foam G-1, 6.25 x 6.25 x 3.1 Hing. Cont., 500/cs in Beige</v>
          </cell>
          <cell r="C236" t="str">
            <v>CS</v>
          </cell>
          <cell r="D236">
            <v>0.5</v>
          </cell>
        </row>
        <row r="237">
          <cell r="A237" t="str">
            <v>DU406301-R003839</v>
          </cell>
          <cell r="B237" t="str">
            <v>*S-3  White 200/cs (EMB/ T DINER)</v>
          </cell>
          <cell r="C237" t="str">
            <v>CS</v>
          </cell>
          <cell r="D237">
            <v>0.2</v>
          </cell>
        </row>
        <row r="238">
          <cell r="A238" t="str">
            <v>DU402199</v>
          </cell>
          <cell r="B238" t="str">
            <v>*Foam B-1,5.125''x5.25''x2.75'' Sm Sandw. H/C,500/cs inBlack</v>
          </cell>
          <cell r="C238" t="str">
            <v>CS</v>
          </cell>
          <cell r="D238">
            <v>0.5</v>
          </cell>
        </row>
        <row r="239">
          <cell r="A239" t="str">
            <v>DU5010101</v>
          </cell>
          <cell r="B239" t="str">
            <v>Foam 10 1/4 x 1 Plate, 500/cs</v>
          </cell>
          <cell r="C239" t="str">
            <v>CS</v>
          </cell>
          <cell r="D239">
            <v>0.5</v>
          </cell>
        </row>
        <row r="240">
          <cell r="A240" t="str">
            <v>DU4063101C</v>
          </cell>
          <cell r="B240" t="str">
            <v>Qualité Large 3 Comp 9.18 x 9.18 x 3 Hing Cont  150/cs</v>
          </cell>
          <cell r="C240" t="str">
            <v>CS</v>
          </cell>
          <cell r="D240">
            <v>0.15</v>
          </cell>
        </row>
        <row r="241">
          <cell r="A241" t="str">
            <v>DU4061199V-R007126</v>
          </cell>
          <cell r="B241" t="str">
            <v>!S-1 Vented Black 200/cs (EMB/DWC)</v>
          </cell>
          <cell r="C241" t="str">
            <v>CS</v>
          </cell>
          <cell r="D241">
            <v>0.2</v>
          </cell>
        </row>
        <row r="242">
          <cell r="A242" t="str">
            <v>DU403199H-R006266</v>
          </cell>
          <cell r="B242" t="str">
            <v>*!M-205 Heavy Duty Black 200/cs (EMB/ALEXS)</v>
          </cell>
          <cell r="C242" t="str">
            <v>CS</v>
          </cell>
          <cell r="D242">
            <v>0.2</v>
          </cell>
        </row>
        <row r="243">
          <cell r="A243" t="str">
            <v>DU4011199-R004318</v>
          </cell>
          <cell r="B243" t="str">
            <v>*G-1  Black 500/cs (EMB/FRICKER)</v>
          </cell>
          <cell r="C243" t="str">
            <v>CS</v>
          </cell>
          <cell r="D243">
            <v>0.5</v>
          </cell>
        </row>
        <row r="244">
          <cell r="A244" t="str">
            <v>DU406199V-R005697</v>
          </cell>
          <cell r="B244" t="str">
            <v>*!S-1 Vented Black 200/cs (EMB/The Shack)</v>
          </cell>
          <cell r="C244" t="str">
            <v>CS</v>
          </cell>
          <cell r="D244">
            <v>0.2</v>
          </cell>
        </row>
        <row r="245">
          <cell r="A245" t="str">
            <v>DU4063199V-R006451</v>
          </cell>
          <cell r="B245" t="str">
            <v>*!S-3 Vented Black 200/cs (EMB/LONGSTREET CAFE)</v>
          </cell>
          <cell r="C245" t="str">
            <v>CS</v>
          </cell>
          <cell r="D245">
            <v>0.2</v>
          </cell>
        </row>
        <row r="246">
          <cell r="A246" t="str">
            <v>DU406301-R004807</v>
          </cell>
          <cell r="B246" t="str">
            <v>*!S-3  White 200/cs (EMB/FLEUR DE LIS)</v>
          </cell>
          <cell r="C246" t="str">
            <v>CS</v>
          </cell>
          <cell r="D246">
            <v>0.2</v>
          </cell>
        </row>
        <row r="247">
          <cell r="A247" t="str">
            <v>DU40A199</v>
          </cell>
          <cell r="B247" t="str">
            <v>Y-1 Foam Hinged Lid Container, 7.5 x 8 x 2.25 Black, 200 ct.</v>
          </cell>
          <cell r="C247" t="str">
            <v>CS</v>
          </cell>
          <cell r="D247">
            <v>0.2</v>
          </cell>
        </row>
        <row r="248">
          <cell r="A248" t="str">
            <v>DU405199V-R005321</v>
          </cell>
          <cell r="B248" t="str">
            <v>*!Q-1 Vented Black 200/cs (EMB/BONOSBBQ)</v>
          </cell>
          <cell r="C248" t="str">
            <v>CS</v>
          </cell>
          <cell r="D248">
            <v>0.2</v>
          </cell>
        </row>
        <row r="249">
          <cell r="A249" t="str">
            <v>DU4061101V-R006368</v>
          </cell>
          <cell r="B249" t="str">
            <v>*!S-1 Vented White 200/cs (EMB/BREAKFASTIME)</v>
          </cell>
          <cell r="C249" t="str">
            <v>CS</v>
          </cell>
          <cell r="D249">
            <v>0.2</v>
          </cell>
        </row>
        <row r="250">
          <cell r="A250" t="str">
            <v>DU4061199-R005219</v>
          </cell>
          <cell r="B250" t="str">
            <v>*!S-1  Black 200/cs (EMB/CRABSONTHEBEACH)</v>
          </cell>
          <cell r="C250" t="str">
            <v>CS</v>
          </cell>
          <cell r="D250">
            <v>0.2</v>
          </cell>
        </row>
        <row r="251">
          <cell r="A251" t="str">
            <v>DU4063199V-R007028</v>
          </cell>
          <cell r="B251" t="str">
            <v>!S-3  Black Vented 200/cs (EMB/HUNGRYAF)</v>
          </cell>
          <cell r="C251" t="str">
            <v>CS</v>
          </cell>
          <cell r="D251">
            <v>0.2</v>
          </cell>
        </row>
        <row r="252">
          <cell r="A252" t="str">
            <v>DU401199-R007056</v>
          </cell>
          <cell r="B252" t="str">
            <v>!G-1 Black 500/cs(EMB/LOGANS)</v>
          </cell>
          <cell r="C252" t="str">
            <v>CS</v>
          </cell>
          <cell r="D252">
            <v>0.5</v>
          </cell>
        </row>
        <row r="253">
          <cell r="A253" t="str">
            <v>DU4051101</v>
          </cell>
          <cell r="B253" t="str">
            <v>Foam Q-1, 8.1x8.2x3.0 Hing. Cont., 200/cs</v>
          </cell>
          <cell r="C253" t="str">
            <v>CS</v>
          </cell>
          <cell r="D253">
            <v>0.2</v>
          </cell>
        </row>
        <row r="254">
          <cell r="A254" t="str">
            <v>DU4053101-R007225</v>
          </cell>
          <cell r="B254" t="str">
            <v>!Q-3 White 200/cs (EMB/HOTSPOT)</v>
          </cell>
          <cell r="C254" t="str">
            <v>CS</v>
          </cell>
          <cell r="D254">
            <v>0.2</v>
          </cell>
        </row>
        <row r="255">
          <cell r="A255" t="str">
            <v>DU405199S</v>
          </cell>
          <cell r="B255" t="str">
            <v>*Foam QS-1,8'x8'x2.375'Sing.Comp.LowDiv.H/C,200/cs inBlac</v>
          </cell>
          <cell r="C255" t="str">
            <v>CS</v>
          </cell>
          <cell r="D255">
            <v>0.2</v>
          </cell>
        </row>
        <row r="256">
          <cell r="A256" t="str">
            <v>DU408301</v>
          </cell>
          <cell r="B256" t="str">
            <v>*Foam O-3, 8''x 7.6''x 2.5'' Hing. Cont. 3 Comp., 200/cs</v>
          </cell>
          <cell r="C256" t="str">
            <v>CS</v>
          </cell>
          <cell r="D256">
            <v>0.2</v>
          </cell>
        </row>
        <row r="257">
          <cell r="A257" t="str">
            <v>DU405101-R004142</v>
          </cell>
          <cell r="B257" t="str">
            <v>*!Q-1  White 200/cs (EMB/CHINESE PAGODA)</v>
          </cell>
          <cell r="C257" t="str">
            <v>CS</v>
          </cell>
          <cell r="D257">
            <v>0.2</v>
          </cell>
        </row>
        <row r="258">
          <cell r="A258" t="str">
            <v>DU4063101V</v>
          </cell>
          <cell r="B258" t="str">
            <v>Foam S-3VENTED,9.0'' x 9.0'' x 3.1'',200/cs(white)</v>
          </cell>
          <cell r="C258" t="str">
            <v>CS</v>
          </cell>
          <cell r="D258">
            <v>0.2</v>
          </cell>
        </row>
        <row r="259">
          <cell r="A259" t="str">
            <v>DU406301C</v>
          </cell>
          <cell r="B259" t="str">
            <v>*Qualité Large 3 Comp 9.18 x 9.18 x 3 Hing Cont  150/cs</v>
          </cell>
          <cell r="C259" t="str">
            <v>CS</v>
          </cell>
          <cell r="D259">
            <v>0.15</v>
          </cell>
        </row>
        <row r="260">
          <cell r="A260" t="str">
            <v>DU4061101-R0067262</v>
          </cell>
          <cell r="B260" t="str">
            <v>*!S-1 white 200/cs (EMB/CASA GRANDE</v>
          </cell>
          <cell r="C260" t="str">
            <v>CS</v>
          </cell>
          <cell r="D260">
            <v>0.2</v>
          </cell>
        </row>
        <row r="261">
          <cell r="A261" t="str">
            <v>DU40A101-R006777</v>
          </cell>
          <cell r="B261" t="str">
            <v>*!Y-1 White 200/cs (EMB/HAVE A NICE DAY)</v>
          </cell>
          <cell r="C261" t="str">
            <v>CS</v>
          </cell>
          <cell r="D261">
            <v>0.2</v>
          </cell>
        </row>
        <row r="262">
          <cell r="A262" t="str">
            <v>DU4053101-R006503</v>
          </cell>
          <cell r="B262" t="str">
            <v>*!Q-3  White 200/cs (EMB/HI NABOR)</v>
          </cell>
          <cell r="C262" t="str">
            <v>CS</v>
          </cell>
          <cell r="D262">
            <v>0.2</v>
          </cell>
        </row>
        <row r="263">
          <cell r="A263" t="str">
            <v>DU40B101C-R006997</v>
          </cell>
          <cell r="B263" t="str">
            <v>!A-102  White 500/cs (EMB/KRYSTAL)</v>
          </cell>
          <cell r="C263" t="str">
            <v>CS</v>
          </cell>
          <cell r="D263">
            <v>0.5</v>
          </cell>
        </row>
        <row r="264">
          <cell r="A264" t="str">
            <v>DU405199V-R005545 </v>
          </cell>
          <cell r="B264" t="str">
            <v>*Q-1 Black 200/cs (EMB/Willie Jewells BBQ)</v>
          </cell>
          <cell r="C264" t="str">
            <v>CS</v>
          </cell>
          <cell r="D264">
            <v>0.2</v>
          </cell>
        </row>
        <row r="265">
          <cell r="A265" t="str">
            <v>DU403199S</v>
          </cell>
          <cell r="B265" t="str">
            <v>*FoamMS-1,9.25'x6.5'x2.5'Rect.Shall.1Comp.H/C,200csinBlac</v>
          </cell>
          <cell r="C265" t="str">
            <v>CS</v>
          </cell>
          <cell r="D265">
            <v>0.2</v>
          </cell>
        </row>
        <row r="266">
          <cell r="A266" t="str">
            <v>DU2014599</v>
          </cell>
          <cell r="B266" t="str">
            <v>5Comp. School Lunch Tray (10.4''x8.4''x1.1''),500/cs inBlack</v>
          </cell>
          <cell r="C266" t="str">
            <v>CS</v>
          </cell>
          <cell r="D266">
            <v>0.5</v>
          </cell>
        </row>
        <row r="267">
          <cell r="A267" t="str">
            <v>DU4061199V-R007106</v>
          </cell>
          <cell r="B267" t="str">
            <v>!S-1 Vented Black 200/cs (EMB/SKYLINE)</v>
          </cell>
          <cell r="C267" t="str">
            <v>CS</v>
          </cell>
          <cell r="D267">
            <v>0.2</v>
          </cell>
        </row>
        <row r="268">
          <cell r="A268" t="str">
            <v>DU5006101C1</v>
          </cell>
          <cell r="B268" t="str">
            <v>*Foam 6' x 5/8' Plate ,1000/cs PARTY DIMENSIONS LABEL</v>
          </cell>
          <cell r="C268" t="str">
            <v>CS</v>
          </cell>
          <cell r="D268">
            <v>1</v>
          </cell>
        </row>
        <row r="269">
          <cell r="A269" t="str">
            <v>DU5209199</v>
          </cell>
          <cell r="B269" t="str">
            <v>*Foam 7' x 9' x 7/8' Oval Platter, 500/cs in Black</v>
          </cell>
          <cell r="C269" t="str">
            <v>CS</v>
          </cell>
          <cell r="D269">
            <v>0.5</v>
          </cell>
        </row>
        <row r="270">
          <cell r="A270" t="str">
            <v>DU405399V</v>
          </cell>
          <cell r="B270" t="str">
            <v>*Foam Q-3 VENTED, 8.57' x 8.57' x 2.84' , 200/cs (black)</v>
          </cell>
          <cell r="C270" t="str">
            <v>CS</v>
          </cell>
          <cell r="D270">
            <v>0.2</v>
          </cell>
        </row>
        <row r="271">
          <cell r="A271" t="str">
            <v>DU5010101C1</v>
          </cell>
          <cell r="B271" t="str">
            <v>*10 Foam Plate Single Comp. Party Dimensions Label 12/50pk</v>
          </cell>
          <cell r="C271" t="str">
            <v>CS</v>
          </cell>
          <cell r="D271">
            <v>0.6</v>
          </cell>
        </row>
        <row r="272">
          <cell r="A272" t="str">
            <v>DU407199</v>
          </cell>
          <cell r="B272" t="str">
            <v>*Foam U-1,10'x10.25'x3.5'Sing.Comp.XtraL H/C,200/csinBlac</v>
          </cell>
          <cell r="C272" t="str">
            <v>CS</v>
          </cell>
          <cell r="D272">
            <v>0.2</v>
          </cell>
        </row>
        <row r="273">
          <cell r="A273" t="str">
            <v>DU4051101C</v>
          </cell>
          <cell r="B273" t="str">
            <v>Qualité Medium SingleComp 8.1 x 8.2 x 3.0 Hing. Cont 150/cs</v>
          </cell>
          <cell r="C273" t="str">
            <v>CS</v>
          </cell>
          <cell r="D273">
            <v>0.15</v>
          </cell>
        </row>
        <row r="274">
          <cell r="A274" t="str">
            <v>DU409101-R004435</v>
          </cell>
          <cell r="B274" t="str">
            <v>*D-1  White 500/cs (EMB/HOT SPOT)</v>
          </cell>
          <cell r="C274" t="str">
            <v>CS</v>
          </cell>
          <cell r="D274">
            <v>0.5</v>
          </cell>
        </row>
        <row r="275">
          <cell r="A275" t="str">
            <v>DU406301-R004596</v>
          </cell>
          <cell r="B275" t="str">
            <v>*!S-3  White 200/cs (EMB/TASTY BBQ)</v>
          </cell>
          <cell r="C275" t="str">
            <v>CS</v>
          </cell>
          <cell r="D275">
            <v>0.2</v>
          </cell>
        </row>
        <row r="276">
          <cell r="A276" t="str">
            <v>DU5006501C1</v>
          </cell>
          <cell r="B276" t="str">
            <v>*Foam 12 oz Bowl(6' x 1.81')1000/cs PARTY DIMENSIONS LABEL</v>
          </cell>
          <cell r="C276" t="str">
            <v>CS</v>
          </cell>
          <cell r="D276">
            <v>1</v>
          </cell>
        </row>
        <row r="277">
          <cell r="A277" t="str">
            <v>DU403199H-R005279</v>
          </cell>
          <cell r="B277" t="str">
            <v>*!M-205 Heavy Duty Black 200/cs (EMB/FOXS PIZZA DEN)</v>
          </cell>
          <cell r="C277" t="str">
            <v>CS</v>
          </cell>
          <cell r="D277">
            <v>0.2</v>
          </cell>
        </row>
        <row r="278">
          <cell r="A278" t="str">
            <v>DU401101-R006478</v>
          </cell>
          <cell r="B278" t="str">
            <v>!G-1 White 500/cs(EMB/IMOsPizza)</v>
          </cell>
          <cell r="C278" t="str">
            <v>CS</v>
          </cell>
          <cell r="D278">
            <v>0.5</v>
          </cell>
        </row>
        <row r="279">
          <cell r="A279" t="str">
            <v>DU405301S-R004388</v>
          </cell>
          <cell r="B279" t="str">
            <v>*QS-3  White 200/cs (EMB/CHEZ LE BEBE)</v>
          </cell>
          <cell r="C279" t="str">
            <v>CS</v>
          </cell>
          <cell r="D279">
            <v>0.2</v>
          </cell>
        </row>
        <row r="280">
          <cell r="A280" t="str">
            <v>DU5010399D</v>
          </cell>
          <cell r="B280" t="str">
            <v>Foam 10 1/4'' x 1'' Plate 3 comp. Deep, 500/cs Black</v>
          </cell>
          <cell r="C280" t="str">
            <v>CS</v>
          </cell>
          <cell r="D280">
            <v>0.5</v>
          </cell>
        </row>
        <row r="281">
          <cell r="A281" t="str">
            <v>DU40A199V</v>
          </cell>
          <cell r="B281" t="str">
            <v>*Foam Y-1 7.5 x 8 x 2.25 Rect 1 comp H/C 200/cs</v>
          </cell>
          <cell r="C281" t="str">
            <v>CS</v>
          </cell>
          <cell r="D281">
            <v>0.2</v>
          </cell>
        </row>
        <row r="282">
          <cell r="A282" t="str">
            <v>DU2014602A</v>
          </cell>
          <cell r="B282" t="str">
            <v>*DarnelCleanAdvantage6Comp.LunchTray(12.4x8.4x1.1),500/csBei</v>
          </cell>
          <cell r="C282" t="str">
            <v>CS</v>
          </cell>
          <cell r="D282">
            <v>0.5</v>
          </cell>
        </row>
        <row r="283">
          <cell r="A283" t="str">
            <v>DU403199SH</v>
          </cell>
          <cell r="B283" t="str">
            <v>*Foam M-206,9.25 x6.75 x2.5 SHALLOW Single Comp Hvy D. Black</v>
          </cell>
          <cell r="C283" t="str">
            <v>CS</v>
          </cell>
          <cell r="D283">
            <v>0.2</v>
          </cell>
        </row>
        <row r="284">
          <cell r="A284" t="str">
            <v>DU403101SH</v>
          </cell>
          <cell r="B284" t="str">
            <v>Foam M-206,9.25x6.75x2.5 Rect Shallow1 Comp H/C 200/cs Hv D</v>
          </cell>
          <cell r="C284" t="str">
            <v>CS</v>
          </cell>
          <cell r="D284">
            <v>0.2</v>
          </cell>
        </row>
        <row r="285">
          <cell r="A285" t="str">
            <v>DU406101V-R005499</v>
          </cell>
          <cell r="B285" t="str">
            <v>*!S-1 Vented White 200/cs (EMB/EL ATLAKAT)</v>
          </cell>
          <cell r="C285" t="str">
            <v>CS</v>
          </cell>
          <cell r="D285">
            <v>0.2</v>
          </cell>
        </row>
        <row r="286">
          <cell r="A286" t="str">
            <v>DU5007501</v>
          </cell>
          <cell r="B286" t="str">
            <v>*Foam 20 oz Bowl (7''x 2.03''), 1000/cs</v>
          </cell>
          <cell r="C286" t="str">
            <v>CS</v>
          </cell>
          <cell r="D286">
            <v>1</v>
          </cell>
        </row>
        <row r="287">
          <cell r="A287" t="str">
            <v>DU406101-R005424</v>
          </cell>
          <cell r="B287" t="str">
            <v>*!S-1  White 200/cs (EMB/DADDY JACKS)</v>
          </cell>
          <cell r="C287" t="str">
            <v>CS</v>
          </cell>
          <cell r="D287">
            <v>0.2</v>
          </cell>
        </row>
        <row r="288">
          <cell r="A288" t="str">
            <v>DU403199HV-R007180</v>
          </cell>
          <cell r="B288" t="str">
            <v>!M-205 Vent Black 200/cs (EMB/TacosMyGuey)</v>
          </cell>
          <cell r="C288" t="str">
            <v>CS</v>
          </cell>
          <cell r="D288">
            <v>0.2</v>
          </cell>
        </row>
        <row r="289">
          <cell r="A289" t="str">
            <v>DU4053101-R006371</v>
          </cell>
          <cell r="B289" t="str">
            <v>!Q-3  White 200/cs (EMB/TONYS SEAFOOD)</v>
          </cell>
          <cell r="C289" t="str">
            <v>CS</v>
          </cell>
          <cell r="D289">
            <v>0.2</v>
          </cell>
        </row>
        <row r="290">
          <cell r="A290" t="str">
            <v>DU405399</v>
          </cell>
          <cell r="B290" t="str">
            <v>*FoamQ-3,8.57''x8.57''x2.84''Hing.Cont.3Comp.,200/cs inBlack</v>
          </cell>
          <cell r="C290" t="str">
            <v>CS</v>
          </cell>
          <cell r="D290">
            <v>0.2</v>
          </cell>
        </row>
        <row r="291">
          <cell r="A291" t="str">
            <v>DU5010301C1</v>
          </cell>
          <cell r="B291" t="str">
            <v>*10  Foam Plate 3 Comp.  Party Dimensions Label 12/50pk</v>
          </cell>
          <cell r="C291" t="str">
            <v>CS</v>
          </cell>
          <cell r="D291">
            <v>0.6</v>
          </cell>
        </row>
        <row r="292">
          <cell r="A292" t="str">
            <v>DU405301S-R004620</v>
          </cell>
          <cell r="B292" t="str">
            <v>*QS-3  White 200/cs (EMB/NARDY S)</v>
          </cell>
          <cell r="C292" t="str">
            <v>CS</v>
          </cell>
          <cell r="D292">
            <v>0.2</v>
          </cell>
        </row>
        <row r="293">
          <cell r="A293" t="str">
            <v>DU406101-R005219</v>
          </cell>
          <cell r="B293" t="str">
            <v>*S-1  White 200/cs (EMB/CRABSONTHEBEACH)</v>
          </cell>
          <cell r="C293" t="str">
            <v>CS</v>
          </cell>
          <cell r="D293">
            <v>0.2</v>
          </cell>
        </row>
        <row r="294">
          <cell r="A294" t="str">
            <v>DU5007101C1</v>
          </cell>
          <cell r="B294" t="str">
            <v>*Foam 7'x 1.81'Plate,1000/cs PARTY DIMENSIONS LABEL</v>
          </cell>
          <cell r="C294" t="str">
            <v>CS</v>
          </cell>
          <cell r="D294">
            <v>1</v>
          </cell>
        </row>
        <row r="295">
          <cell r="A295" t="str">
            <v>DU5009101C1</v>
          </cell>
          <cell r="B295" t="str">
            <v>*Foam 8 7/8'  x 7/8', Plate, 100pk 600/cs, MURRY’S</v>
          </cell>
          <cell r="C295" t="str">
            <v>CS</v>
          </cell>
          <cell r="D295">
            <v>0.6</v>
          </cell>
        </row>
        <row r="296">
          <cell r="A296" t="str">
            <v>DU406199V-R004319</v>
          </cell>
          <cell r="B296" t="str">
            <v>*!S-1 Vented Black 200/cs (EMB/FRICKERS)</v>
          </cell>
          <cell r="C296" t="str">
            <v>CS</v>
          </cell>
          <cell r="D296">
            <v>0.2</v>
          </cell>
        </row>
        <row r="297">
          <cell r="A297" t="str">
            <v>DU40B199V-R005949</v>
          </cell>
          <cell r="B297" t="str">
            <v>*!A-102 Vented Black 200/cs (EMB/EGGSMART)</v>
          </cell>
          <cell r="C297" t="str">
            <v>CS</v>
          </cell>
          <cell r="D297">
            <v>0.2</v>
          </cell>
        </row>
        <row r="298">
          <cell r="A298" t="str">
            <v>DU407201</v>
          </cell>
          <cell r="B298" t="str">
            <v>*Foam U-2, 10'x10.25'x3.5' 2 Comp. Xtra Large H/C ,200/cs</v>
          </cell>
          <cell r="C298" t="str">
            <v>CS</v>
          </cell>
          <cell r="D298">
            <v>0.2</v>
          </cell>
        </row>
        <row r="299">
          <cell r="A299" t="str">
            <v>DU405301</v>
          </cell>
          <cell r="B299" t="str">
            <v>*Foam Q-3, 8.57''x 8.57''x 2.84'' Hing. Cont. 3 Comp.,200/cs</v>
          </cell>
          <cell r="C299" t="str">
            <v>CS</v>
          </cell>
          <cell r="D299">
            <v>0.2</v>
          </cell>
        </row>
        <row r="300">
          <cell r="A300" t="str">
            <v>DU405301S</v>
          </cell>
          <cell r="B300" t="str">
            <v>*Foam QS-3, 8''x8''x2.375'' 3 Comp. Low Dividers H/C,200/cs</v>
          </cell>
          <cell r="C300" t="str">
            <v>CS</v>
          </cell>
          <cell r="D300">
            <v>0.2</v>
          </cell>
        </row>
        <row r="301">
          <cell r="A301" t="str">
            <v>DU403199</v>
          </cell>
          <cell r="B301" t="str">
            <v>*FoamM-1,9.25''x6.5''x2.875''Rect.Sing.Comp.H/C,200/csinBlac</v>
          </cell>
          <cell r="C301" t="str">
            <v>CS</v>
          </cell>
          <cell r="D301">
            <v>0.2</v>
          </cell>
        </row>
        <row r="302">
          <cell r="A302" t="str">
            <v>DU4063199V-R006940</v>
          </cell>
          <cell r="B302" t="str">
            <v>!S-3 Vented Black 200/cs (EMB/MIAMI GRILL)</v>
          </cell>
          <cell r="C302" t="str">
            <v>CS</v>
          </cell>
          <cell r="D302">
            <v>0.2</v>
          </cell>
        </row>
        <row r="303">
          <cell r="A303" t="str">
            <v>DU406399V</v>
          </cell>
          <cell r="B303" t="str">
            <v>*Foam S-3 VENTED, 9.18'' x 9.18'' x 3'' , 200/cs (black)</v>
          </cell>
          <cell r="C303" t="str">
            <v>CS</v>
          </cell>
          <cell r="D303">
            <v>0.2</v>
          </cell>
        </row>
        <row r="304">
          <cell r="A304" t="str">
            <v>DU406399V-R005548</v>
          </cell>
          <cell r="B304" t="str">
            <v>*!S-3 Vented Black 200/cs (EMB/Lima’s Chicken) </v>
          </cell>
          <cell r="C304" t="str">
            <v>CS</v>
          </cell>
          <cell r="D304">
            <v>0.2</v>
          </cell>
        </row>
        <row r="305">
          <cell r="A305" t="str">
            <v>DU403101H-R006296</v>
          </cell>
          <cell r="B305" t="str">
            <v>*!M-205HeavyDutyWhite200/cs(EMB/RALPHIES)</v>
          </cell>
          <cell r="C305" t="str">
            <v>CS</v>
          </cell>
          <cell r="D305">
            <v>0.2</v>
          </cell>
        </row>
        <row r="306">
          <cell r="A306" t="str">
            <v>DU4053199-R006764</v>
          </cell>
          <cell r="B306" t="str">
            <v>!Q-3  Black 200/cs (EMB/SOULFOODBISTRO)</v>
          </cell>
          <cell r="C306" t="str">
            <v>CS</v>
          </cell>
          <cell r="D306">
            <v>0.2</v>
          </cell>
        </row>
        <row r="307">
          <cell r="A307" t="str">
            <v>DU406199-R005577</v>
          </cell>
          <cell r="B307" t="str">
            <v>*!S-1  Black 200/cs (EMB/BAR LOUIE)      </v>
          </cell>
          <cell r="C307" t="str">
            <v>CS</v>
          </cell>
          <cell r="D307">
            <v>0.2</v>
          </cell>
        </row>
        <row r="308">
          <cell r="A308" t="str">
            <v>DU4061199V</v>
          </cell>
          <cell r="B308" t="str">
            <v>Foam S-1 VENTED, 9.0” x 9.0” x 3.1” 200/cs BLACK</v>
          </cell>
          <cell r="C308" t="str">
            <v>CS</v>
          </cell>
          <cell r="D308">
            <v>0.2</v>
          </cell>
        </row>
        <row r="309">
          <cell r="A309" t="str">
            <v>DU406399V-R005486</v>
          </cell>
          <cell r="B309" t="str">
            <v>*!S-3 Vented Black 200/cs (EMB/MIAMI SUBS)</v>
          </cell>
          <cell r="C309" t="str">
            <v>CS</v>
          </cell>
          <cell r="D309">
            <v>0.2</v>
          </cell>
        </row>
        <row r="310">
          <cell r="A310" t="str">
            <v>DU40B199-R004725</v>
          </cell>
          <cell r="B310" t="str">
            <v>*!A-102  Black 200/cs (EMB/FRICKERS)</v>
          </cell>
          <cell r="C310" t="str">
            <v>CS</v>
          </cell>
          <cell r="D310">
            <v>0.2</v>
          </cell>
        </row>
        <row r="311">
          <cell r="A311" t="str">
            <v>DU4061199V-R005697</v>
          </cell>
          <cell r="B311" t="str">
            <v>*!S-1 Vented Black 200/cs (EMB/The Shack)</v>
          </cell>
          <cell r="C311" t="str">
            <v>CS</v>
          </cell>
          <cell r="D311">
            <v>0.2</v>
          </cell>
        </row>
        <row r="312">
          <cell r="A312" t="str">
            <v>DU4061101V-R006355</v>
          </cell>
          <cell r="B312" t="str">
            <v>*!S-1 Vented White 200/cs (EMB/EL POLLO DORADO)</v>
          </cell>
          <cell r="C312" t="str">
            <v>CS</v>
          </cell>
          <cell r="D312">
            <v>0.2</v>
          </cell>
        </row>
        <row r="313">
          <cell r="A313" t="str">
            <v>DU406199-R005093</v>
          </cell>
          <cell r="B313" t="str">
            <v>*!S-1  Black 200/cs (EMB/MCGUIRES)</v>
          </cell>
          <cell r="C313" t="str">
            <v>CS</v>
          </cell>
          <cell r="D313">
            <v>0.2</v>
          </cell>
        </row>
        <row r="314">
          <cell r="A314" t="str">
            <v>DU401101-R007150</v>
          </cell>
          <cell r="B314" t="str">
            <v>G-1 White 500/cs(EMB/JET)</v>
          </cell>
          <cell r="C314" t="str">
            <v>CS</v>
          </cell>
          <cell r="D314">
            <v>0.5</v>
          </cell>
        </row>
        <row r="315">
          <cell r="A315" t="str">
            <v>DU2014601A</v>
          </cell>
          <cell r="B315" t="str">
            <v>*DarnelCleanAdvantage 6 Compartment School Lunch Tray(12.4 x</v>
          </cell>
          <cell r="C315" t="str">
            <v>CS</v>
          </cell>
          <cell r="D315">
            <v>0.5</v>
          </cell>
        </row>
        <row r="316">
          <cell r="A316" t="str">
            <v>DU4061199V-R006075</v>
          </cell>
          <cell r="B316" t="str">
            <v>*!S-1 Vented Black 200/cs (EMB/CAPTJAYS)</v>
          </cell>
          <cell r="C316" t="str">
            <v>CS</v>
          </cell>
          <cell r="D316">
            <v>0.2</v>
          </cell>
        </row>
        <row r="317">
          <cell r="A317" t="str">
            <v>DU405199-R005745</v>
          </cell>
          <cell r="B317" t="str">
            <v>*!Q-1 Black 200/cs (EMB/URBAN FUXION)</v>
          </cell>
          <cell r="C317" t="str">
            <v>CS</v>
          </cell>
          <cell r="D317">
            <v>0.2</v>
          </cell>
        </row>
        <row r="318">
          <cell r="A318" t="str">
            <v>DU403199HV-R007125</v>
          </cell>
          <cell r="B318" t="str">
            <v>!M-205 Vented Heavy Duty Black 200/cs (EMB/DWC)</v>
          </cell>
          <cell r="C318" t="str">
            <v>CS</v>
          </cell>
          <cell r="D318">
            <v>0.2</v>
          </cell>
        </row>
        <row r="319">
          <cell r="A319" t="str">
            <v>DU403101H-R005254</v>
          </cell>
          <cell r="B319" t="str">
            <v>*M-205 Heavy Duty White 200/cs (EMB/FOXS PIZZA DEN)</v>
          </cell>
          <cell r="C319" t="str">
            <v>CS</v>
          </cell>
          <cell r="D319">
            <v>0.2</v>
          </cell>
        </row>
        <row r="320">
          <cell r="A320" t="str">
            <v>DU405399S</v>
          </cell>
          <cell r="B320" t="str">
            <v>*Foam QS-3,8'x8'x2.375'3Comp LowDiv. H/C, 200/cs inBlack</v>
          </cell>
          <cell r="C320" t="str">
            <v>CS</v>
          </cell>
          <cell r="D320">
            <v>0.2</v>
          </cell>
        </row>
        <row r="321">
          <cell r="A321" t="str">
            <v>DU5009101C2</v>
          </cell>
          <cell r="B321" t="str">
            <v>*Foam 8 7/8'  x 7/8', Plate, 80pk 640/cs, MURRY’S</v>
          </cell>
          <cell r="C321" t="str">
            <v>CS</v>
          </cell>
          <cell r="D321">
            <v>0.64</v>
          </cell>
        </row>
        <row r="322">
          <cell r="A322" t="str">
            <v>DU406199V-R005104</v>
          </cell>
          <cell r="B322" t="str">
            <v>*S-1 Vented Black 200/cs (EMB/RECIPE BOX)</v>
          </cell>
          <cell r="C322" t="str">
            <v>CS</v>
          </cell>
          <cell r="D322">
            <v>0.2</v>
          </cell>
        </row>
        <row r="323">
          <cell r="A323" t="str">
            <v>DU4061102A</v>
          </cell>
          <cell r="B323" t="str">
            <v>*Darnel Clean Advantage S-1, 9.0' x 9.0' x3.1' Hing.Cont.1 C</v>
          </cell>
          <cell r="C323" t="str">
            <v>CS</v>
          </cell>
          <cell r="D323">
            <v>0.2</v>
          </cell>
        </row>
        <row r="324">
          <cell r="A324" t="str">
            <v>DU4063101-R006750</v>
          </cell>
          <cell r="B324" t="str">
            <v>!S-3 White 200/cs (EMB/FOODCITY)</v>
          </cell>
          <cell r="C324" t="str">
            <v>CS</v>
          </cell>
          <cell r="D324">
            <v>0.2</v>
          </cell>
        </row>
        <row r="325">
          <cell r="A325" t="str">
            <v>DU4061101-R007222</v>
          </cell>
          <cell r="B325" t="str">
            <v>!S-1 white 200/cs (EMB/OAKCITYFISH)</v>
          </cell>
          <cell r="C325" t="str">
            <v>CS</v>
          </cell>
          <cell r="D325">
            <v>0.2</v>
          </cell>
        </row>
        <row r="326">
          <cell r="A326" t="str">
            <v>DU5010102A</v>
          </cell>
          <cell r="B326" t="str">
            <v>*10'' Clean Advantage plate 500/cs</v>
          </cell>
          <cell r="C326" t="str">
            <v>CS</v>
          </cell>
          <cell r="D326">
            <v>0.5</v>
          </cell>
        </row>
        <row r="327">
          <cell r="A327" t="str">
            <v>DU404101</v>
          </cell>
          <cell r="B327" t="str">
            <v>Foam F-1, 5.125''x10.25''x3.25'' Hoagie H/C, 500/cs</v>
          </cell>
          <cell r="C327" t="str">
            <v>CS</v>
          </cell>
          <cell r="D327">
            <v>0.5</v>
          </cell>
        </row>
        <row r="328">
          <cell r="A328" t="str">
            <v>DU4051102A</v>
          </cell>
          <cell r="B328" t="str">
            <v>*Darnel Clean Advantage Q-1,8.1x8.2x3.0 Hing.Cont. 200/cs Be</v>
          </cell>
          <cell r="C328" t="str">
            <v>CS</v>
          </cell>
          <cell r="D328">
            <v>0.2</v>
          </cell>
        </row>
        <row r="329">
          <cell r="A329" t="str">
            <v>DU405101S-R004589</v>
          </cell>
          <cell r="B329" t="str">
            <v>*QS-1  White 200/cs (EMB/TASTY BBQ)</v>
          </cell>
          <cell r="C329" t="str">
            <v>CS</v>
          </cell>
          <cell r="D329">
            <v>0.2</v>
          </cell>
        </row>
        <row r="330">
          <cell r="A330" t="str">
            <v>DU406101-R004167</v>
          </cell>
          <cell r="B330" t="str">
            <v>*S-1  White 200/cs (EMB/ BARRACO S)</v>
          </cell>
          <cell r="C330" t="str">
            <v>CS</v>
          </cell>
          <cell r="D330">
            <v>0.2</v>
          </cell>
        </row>
        <row r="331">
          <cell r="A331" t="str">
            <v>DU403101H-R006184</v>
          </cell>
          <cell r="B331" t="str">
            <v>*!M-205HeavyDutyWhite200/cs(EMB/MUCHASGRACIAS)</v>
          </cell>
          <cell r="C331" t="str">
            <v>CS</v>
          </cell>
          <cell r="D331">
            <v>0.2</v>
          </cell>
        </row>
        <row r="332">
          <cell r="A332" t="str">
            <v>DU403199-R004320</v>
          </cell>
          <cell r="B332" t="str">
            <v>*!M-1  Black 200/cs (EMB/FRICKERS)</v>
          </cell>
          <cell r="C332" t="str">
            <v>CS</v>
          </cell>
          <cell r="D332">
            <v>0.2</v>
          </cell>
        </row>
        <row r="333">
          <cell r="A333" t="str">
            <v>DU4053199V-R006433</v>
          </cell>
          <cell r="B333" t="str">
            <v>*!Q-3  Black VENTED 200/cs (EMB/GOLDFINGERS)</v>
          </cell>
          <cell r="C333" t="str">
            <v>CS</v>
          </cell>
          <cell r="D333">
            <v>0.2</v>
          </cell>
        </row>
        <row r="334">
          <cell r="A334" t="str">
            <v>DU403101-R004139</v>
          </cell>
          <cell r="B334" t="str">
            <v>*!M-1  White 200/cs (EMB/CHINESE PAGODA)</v>
          </cell>
          <cell r="C334" t="str">
            <v>CS</v>
          </cell>
          <cell r="D334">
            <v>0.2</v>
          </cell>
        </row>
        <row r="335">
          <cell r="A335" t="str">
            <v>DU4061199-R005093</v>
          </cell>
          <cell r="B335" t="str">
            <v>*!S-1  Black 200/cs (EMB/MCGUIRES)</v>
          </cell>
          <cell r="C335" t="str">
            <v>CS</v>
          </cell>
          <cell r="D335">
            <v>0.2</v>
          </cell>
        </row>
        <row r="336">
          <cell r="A336" t="str">
            <v>DU406199-R004788</v>
          </cell>
          <cell r="B336" t="str">
            <v>*!S-1  Black 200/cs (EMB/MULLIGAN S)</v>
          </cell>
          <cell r="C336" t="str">
            <v>CS</v>
          </cell>
          <cell r="D336">
            <v>0.2</v>
          </cell>
        </row>
        <row r="337">
          <cell r="A337" t="str">
            <v>DU403101H-R007009</v>
          </cell>
          <cell r="B337" t="str">
            <v>!M-205HeavyDutyWhite200/cs(EMB/EL NOPAL)</v>
          </cell>
          <cell r="C337" t="str">
            <v>CS</v>
          </cell>
          <cell r="D337">
            <v>0.2</v>
          </cell>
        </row>
        <row r="338">
          <cell r="A338" t="str">
            <v>DU406101V-R005567</v>
          </cell>
          <cell r="B338" t="str">
            <v>*!S-1VentedWhite200/cs(EMB/ElFloridita)</v>
          </cell>
          <cell r="C338" t="str">
            <v>CS</v>
          </cell>
          <cell r="D338">
            <v>0.2</v>
          </cell>
        </row>
        <row r="339">
          <cell r="A339" t="str">
            <v>DU401101</v>
          </cell>
          <cell r="B339" t="str">
            <v>Foam G-1, 6.25 x 6.25 x 3.1 Hing. Cont., 500/cs</v>
          </cell>
          <cell r="C339" t="str">
            <v>CS</v>
          </cell>
          <cell r="D339">
            <v>0.5</v>
          </cell>
        </row>
        <row r="340">
          <cell r="A340" t="str">
            <v>DU5009302A</v>
          </cell>
          <cell r="B340" t="str">
            <v>*!Darnel Clean Advantage Foam 8 7/8 x 7/8  Plate 3 comp., 50</v>
          </cell>
          <cell r="C340" t="str">
            <v>CS</v>
          </cell>
          <cell r="D340">
            <v>0.5</v>
          </cell>
        </row>
        <row r="341">
          <cell r="A341" t="str">
            <v>DU5006599</v>
          </cell>
          <cell r="B341" t="str">
            <v>Foam 12 oz Bowl (6'' x 1.81''), 1000/cs in Black</v>
          </cell>
          <cell r="C341" t="str">
            <v>CS</v>
          </cell>
          <cell r="D341">
            <v>1</v>
          </cell>
        </row>
        <row r="342">
          <cell r="A342" t="str">
            <v>DU406201V</v>
          </cell>
          <cell r="B342" t="str">
            <v>*Foam S-2, 9.18 x 9.18 x 3 Hing. Cont. 2 Comp., 200/cs VENTE</v>
          </cell>
          <cell r="C342" t="str">
            <v>CS</v>
          </cell>
          <cell r="D342">
            <v>0.2</v>
          </cell>
        </row>
        <row r="343">
          <cell r="A343" t="str">
            <v>DU406101</v>
          </cell>
          <cell r="B343" t="str">
            <v>*Foam S-1, 9.18'' x 9.18'' x 3'' Hing. Cont. , 200/cs</v>
          </cell>
          <cell r="C343" t="str">
            <v>CS</v>
          </cell>
          <cell r="D343">
            <v>0.2</v>
          </cell>
        </row>
        <row r="344">
          <cell r="A344" t="str">
            <v>DU405101-R004304</v>
          </cell>
          <cell r="B344" t="str">
            <v>*Q-1  White 200/cs (EMB/GREAT WRAPS )</v>
          </cell>
          <cell r="C344" t="str">
            <v>CS</v>
          </cell>
          <cell r="D344">
            <v>0.2</v>
          </cell>
        </row>
        <row r="345">
          <cell r="A345" t="str">
            <v>DU4063101-R006393</v>
          </cell>
          <cell r="B345" t="str">
            <v>*!S-3  White 200/cs (EMB/BOZOS)</v>
          </cell>
          <cell r="C345" t="str">
            <v>CS</v>
          </cell>
          <cell r="D345">
            <v>0.2</v>
          </cell>
        </row>
        <row r="346">
          <cell r="A346" t="str">
            <v>DU406399-R005404</v>
          </cell>
          <cell r="B346" t="str">
            <v>*!S-3  Black 200/cs (EMB/SHAPIROS)</v>
          </cell>
          <cell r="C346" t="str">
            <v>CS</v>
          </cell>
          <cell r="D346">
            <v>0.2</v>
          </cell>
        </row>
        <row r="347">
          <cell r="A347" t="str">
            <v>DU406199-R005388</v>
          </cell>
          <cell r="B347" t="str">
            <v>*!S-1  Black 200/cs (EMB/SHAPIROS)</v>
          </cell>
          <cell r="C347" t="str">
            <v>CS</v>
          </cell>
          <cell r="D347">
            <v>0.2</v>
          </cell>
        </row>
        <row r="348">
          <cell r="A348" t="str">
            <v>DU5009301A</v>
          </cell>
          <cell r="B348" t="str">
            <v>*Clean Adv. 8 7/8 Plate 3Comp 500/cs</v>
          </cell>
          <cell r="C348" t="str">
            <v>CS</v>
          </cell>
          <cell r="D348">
            <v>0.5</v>
          </cell>
        </row>
        <row r="349">
          <cell r="A349" t="str">
            <v>DU4011102A</v>
          </cell>
          <cell r="B349" t="str">
            <v>*Darnel Cl. Adv. G-1,6.25x6.25x3.22 Hng Ct. 500/cs Beige</v>
          </cell>
          <cell r="C349" t="str">
            <v>CS</v>
          </cell>
          <cell r="D349">
            <v>0.5</v>
          </cell>
        </row>
        <row r="350">
          <cell r="A350" t="str">
            <v>DU40B199S</v>
          </cell>
          <cell r="B350" t="str">
            <v>*A-101, 5.25 L x 8.31 W x 2 H Rect. Single Comp. H/C, 200/cs</v>
          </cell>
          <cell r="C350" t="str">
            <v>CS</v>
          </cell>
          <cell r="D350">
            <v>0.2</v>
          </cell>
        </row>
        <row r="351">
          <cell r="A351" t="str">
            <v>DU401199-R005037</v>
          </cell>
          <cell r="B351" t="str">
            <v>*G-1  Black 500/cs (EMB/GOLD STAR CHILI)</v>
          </cell>
          <cell r="C351" t="str">
            <v>CS</v>
          </cell>
          <cell r="D351">
            <v>0.5</v>
          </cell>
        </row>
        <row r="352">
          <cell r="A352" t="str">
            <v>DU406101-R005374</v>
          </cell>
          <cell r="B352" t="str">
            <v>*!S-1  White 200/cs (EMB/MOTHER BEARS PIZZA)</v>
          </cell>
          <cell r="C352" t="str">
            <v>CS</v>
          </cell>
          <cell r="D352">
            <v>0.2</v>
          </cell>
        </row>
        <row r="353">
          <cell r="A353" t="str">
            <v>DU4063199-R006133</v>
          </cell>
          <cell r="B353" t="str">
            <v>*!S-3  Black 200/cs (EMB/LAWLERSBBQ)</v>
          </cell>
          <cell r="C353" t="str">
            <v>CS</v>
          </cell>
          <cell r="D353">
            <v>0.2</v>
          </cell>
        </row>
        <row r="354">
          <cell r="A354" t="str">
            <v>DU4061199V-R006922</v>
          </cell>
          <cell r="B354" t="str">
            <v>!S-1 Vented Black 200/cs (EMB/Tacos4Life)</v>
          </cell>
          <cell r="C354" t="str">
            <v>CS</v>
          </cell>
          <cell r="D354">
            <v>0.2</v>
          </cell>
        </row>
        <row r="355">
          <cell r="A355" t="str">
            <v>DU403101S-R004140</v>
          </cell>
          <cell r="B355" t="str">
            <v>*!MS-1  White 200/cs (EMB/CHINESE PAGODA)</v>
          </cell>
          <cell r="C355" t="str">
            <v>CS</v>
          </cell>
          <cell r="D355">
            <v>0.2</v>
          </cell>
        </row>
        <row r="356">
          <cell r="A356" t="str">
            <v>DU5006101</v>
          </cell>
          <cell r="B356" t="str">
            <v>Foam 6 x 5/8 Plate, 1000/cs</v>
          </cell>
          <cell r="C356" t="str">
            <v>CS</v>
          </cell>
          <cell r="D356">
            <v>1</v>
          </cell>
        </row>
        <row r="357">
          <cell r="A357" t="str">
            <v>DU406199V-R005001</v>
          </cell>
          <cell r="B357" t="str">
            <v>*S-1 Vented Black 200/cs (EMB/FERGS)</v>
          </cell>
          <cell r="C357" t="str">
            <v>CS</v>
          </cell>
          <cell r="D357">
            <v>0.2</v>
          </cell>
        </row>
        <row r="358">
          <cell r="A358" t="str">
            <v>DU402199-R006077</v>
          </cell>
          <cell r="B358" t="str">
            <v>*!B-1  Black 500/cs (EMB/CAPTJAYS)</v>
          </cell>
          <cell r="C358" t="str">
            <v>CS</v>
          </cell>
          <cell r="D358">
            <v>0.5</v>
          </cell>
        </row>
        <row r="359">
          <cell r="A359" t="str">
            <v>DU406301-R005162</v>
          </cell>
          <cell r="B359" t="str">
            <v>*!S-3  White 200/cs (EMB/ CHAMPS)</v>
          </cell>
          <cell r="C359" t="str">
            <v>CS</v>
          </cell>
          <cell r="D359">
            <v>0.2</v>
          </cell>
        </row>
        <row r="360">
          <cell r="A360" t="str">
            <v>DU406201</v>
          </cell>
          <cell r="B360" t="str">
            <v>*Foam S-2, 9.18'' x 9.18'' x 3'' Hing. Cont. 2 Comp., 200/cs</v>
          </cell>
          <cell r="C360" t="str">
            <v>CS</v>
          </cell>
          <cell r="D360">
            <v>0.2</v>
          </cell>
        </row>
        <row r="361">
          <cell r="A361" t="str">
            <v>DU403199H-R006134</v>
          </cell>
          <cell r="B361" t="str">
            <v>*!M-205 Heavy Duty Black 200/cs (EMB/LAWLERSBBQ)</v>
          </cell>
          <cell r="C361" t="str">
            <v>CS</v>
          </cell>
          <cell r="D361">
            <v>0.2</v>
          </cell>
        </row>
        <row r="362">
          <cell r="A362" t="str">
            <v>DU406399-R005390</v>
          </cell>
          <cell r="B362" t="str">
            <v>*!S-3  Black 200/cs (EMB/LUNCH BOX)</v>
          </cell>
          <cell r="C362" t="str">
            <v>CS</v>
          </cell>
          <cell r="D362">
            <v>0.2</v>
          </cell>
        </row>
        <row r="363">
          <cell r="A363" t="str">
            <v>DU403101HV-R005721</v>
          </cell>
          <cell r="B363" t="str">
            <v>*!M-205 Vented Heavy Duty White 200/cs (EMB/DON HALLS)</v>
          </cell>
          <cell r="C363" t="str">
            <v>CS</v>
          </cell>
          <cell r="D363">
            <v>0.2</v>
          </cell>
        </row>
        <row r="364">
          <cell r="A364" t="str">
            <v>DU40A301</v>
          </cell>
          <cell r="B364" t="str">
            <v>Foam Y-3, 7.5 L x 8W x 2.25H Rect. Three Comp. H/C 200/cs</v>
          </cell>
          <cell r="C364" t="str">
            <v>CS</v>
          </cell>
          <cell r="D364">
            <v>0.2</v>
          </cell>
        </row>
        <row r="365">
          <cell r="A365" t="str">
            <v>DU5007199</v>
          </cell>
          <cell r="B365" t="str">
            <v>Foam 7'  x 1.81' Plate , 1000/cs in Black</v>
          </cell>
          <cell r="C365" t="str">
            <v>CS</v>
          </cell>
          <cell r="D365">
            <v>1</v>
          </cell>
        </row>
        <row r="366">
          <cell r="A366" t="str">
            <v>DU5006502A</v>
          </cell>
          <cell r="B366" t="str">
            <v>*12 oz Clean Advantage bowl 1000/cs</v>
          </cell>
          <cell r="C366" t="str">
            <v>CS</v>
          </cell>
          <cell r="D366">
            <v>1</v>
          </cell>
        </row>
        <row r="367">
          <cell r="A367" t="str">
            <v>DU405199</v>
          </cell>
          <cell r="B367" t="str">
            <v>*Foam Q-1,8.57''x8.57''x2.84''Hing.Cont. ,200/cs in Black</v>
          </cell>
          <cell r="C367" t="str">
            <v>CS</v>
          </cell>
          <cell r="D367">
            <v>0.2</v>
          </cell>
        </row>
        <row r="368">
          <cell r="A368" t="str">
            <v>DU4051199SV-R07058</v>
          </cell>
          <cell r="B368" t="str">
            <v>!Foam QS-1, Black Vented  200/cs (EMB/COOKOUT)</v>
          </cell>
          <cell r="C368" t="str">
            <v>CS</v>
          </cell>
          <cell r="D368">
            <v>0.2</v>
          </cell>
        </row>
        <row r="369">
          <cell r="A369" t="str">
            <v>DU406199-R005732</v>
          </cell>
          <cell r="B369" t="str">
            <v>*!S-1  Black 200/cs (EMB/URBAN FUXION)</v>
          </cell>
          <cell r="C369" t="str">
            <v>CS</v>
          </cell>
          <cell r="D369">
            <v>0.2</v>
          </cell>
        </row>
        <row r="370">
          <cell r="A370" t="str">
            <v>DU406199V-R005486</v>
          </cell>
          <cell r="B370" t="str">
            <v>*!S-1 Vented Black 200/cs (EMB/MIAMI SUBS)</v>
          </cell>
          <cell r="C370" t="str">
            <v>CS</v>
          </cell>
          <cell r="D370">
            <v>0.2</v>
          </cell>
        </row>
        <row r="371">
          <cell r="A371" t="str">
            <v>DU406199-R005466</v>
          </cell>
          <cell r="B371" t="str">
            <v>*S-1  Black 200/cs (EMB/SUSHI EATSTATION)</v>
          </cell>
          <cell r="C371" t="str">
            <v>CS</v>
          </cell>
          <cell r="D371">
            <v>0.2</v>
          </cell>
        </row>
        <row r="372">
          <cell r="A372" t="str">
            <v>DU406101-R005122</v>
          </cell>
          <cell r="B372" t="str">
            <v>*!S-1  White 200/cs (EMB/MUCHAS GRACIAS)</v>
          </cell>
          <cell r="C372" t="str">
            <v>CS</v>
          </cell>
          <cell r="D372">
            <v>0.2</v>
          </cell>
        </row>
        <row r="373">
          <cell r="A373" t="str">
            <v>DU401199-R005278</v>
          </cell>
          <cell r="B373" t="str">
            <v>*!G-1  Black 500/cs (EMB/FOXS PIZZA DEN)</v>
          </cell>
          <cell r="C373" t="str">
            <v>CS</v>
          </cell>
          <cell r="D373">
            <v>0.5</v>
          </cell>
        </row>
        <row r="374">
          <cell r="A374" t="str">
            <v>DU5010399</v>
          </cell>
          <cell r="B374" t="str">
            <v>*Foam 10 1/4'' x 1'' Plate 3 comp., 500/cs in Black</v>
          </cell>
          <cell r="C374" t="str">
            <v>CS</v>
          </cell>
          <cell r="D374">
            <v>0.5</v>
          </cell>
        </row>
        <row r="375">
          <cell r="A375" t="str">
            <v>DU4061101-R006856</v>
          </cell>
          <cell r="B375" t="str">
            <v>*!S-1 white 200/cs (EMB/LA PARRILLA)</v>
          </cell>
          <cell r="C375" t="str">
            <v>CS</v>
          </cell>
          <cell r="D375">
            <v>0.2</v>
          </cell>
        </row>
        <row r="376">
          <cell r="A376" t="str">
            <v>DU5006501A</v>
          </cell>
          <cell r="B376" t="str">
            <v>*12 oz Clean Advantage bowl 1000/cs</v>
          </cell>
          <cell r="C376" t="str">
            <v>CS</v>
          </cell>
          <cell r="D376">
            <v>1</v>
          </cell>
        </row>
        <row r="377">
          <cell r="A377" t="str">
            <v>DU406101V-R004319</v>
          </cell>
          <cell r="B377" t="str">
            <v>*S-1 Vented White 200/cs (EMB/FRICKERS)</v>
          </cell>
          <cell r="C377" t="str">
            <v>CS</v>
          </cell>
          <cell r="D377">
            <v>0.2</v>
          </cell>
        </row>
        <row r="378">
          <cell r="A378" t="str">
            <v>DU402101</v>
          </cell>
          <cell r="B378" t="str">
            <v>Foam B-1, 5.125''x5.25''x2.75'' Sm Sandwich H/C, 500/cs</v>
          </cell>
          <cell r="C378" t="str">
            <v>CS</v>
          </cell>
          <cell r="D378">
            <v>0.5</v>
          </cell>
        </row>
        <row r="379">
          <cell r="A379" t="str">
            <v>DU4061101-R005374</v>
          </cell>
          <cell r="B379" t="str">
            <v>*!S-1  White 200/cs (EMB/MOTHER</v>
          </cell>
          <cell r="C379" t="str">
            <v>CS</v>
          </cell>
          <cell r="D379">
            <v>0.2</v>
          </cell>
        </row>
        <row r="380">
          <cell r="A380" t="str">
            <v>DU5009399</v>
          </cell>
          <cell r="B380" t="str">
            <v>Foam 8 7/8'' x 7/8''  Plate 3 comp., 500/cs in Black</v>
          </cell>
          <cell r="C380" t="str">
            <v>CS</v>
          </cell>
          <cell r="D380">
            <v>0.5</v>
          </cell>
        </row>
        <row r="381">
          <cell r="A381" t="str">
            <v>DU4061101-R006995</v>
          </cell>
          <cell r="B381" t="str">
            <v>!S-1 white 200/cs (EMB/CASA GRANDE w Taco Bros)</v>
          </cell>
          <cell r="C381" t="str">
            <v>CS</v>
          </cell>
          <cell r="D381">
            <v>0.2</v>
          </cell>
        </row>
        <row r="382">
          <cell r="A382" t="str">
            <v>DU4061199V-R007195</v>
          </cell>
          <cell r="B382" t="str">
            <v>!S-1 Black Vented 200/cs (EMB/HueyMagoos)</v>
          </cell>
          <cell r="C382" t="str">
            <v>CS</v>
          </cell>
          <cell r="D382">
            <v>0.2</v>
          </cell>
        </row>
        <row r="383">
          <cell r="A383" t="str">
            <v>DU4061199V-R004815</v>
          </cell>
          <cell r="B383" t="str">
            <v>*!S-1 Vented Black 200/cs (EMB/Burger Barn)</v>
          </cell>
          <cell r="C383" t="str">
            <v>CS</v>
          </cell>
          <cell r="D383">
            <v>0.2</v>
          </cell>
        </row>
        <row r="384">
          <cell r="A384" t="str">
            <v>DU406199V-R005320</v>
          </cell>
          <cell r="B384" t="str">
            <v>*!S-1 Vented Black 200/cs (EMB/BONOSBBQ)</v>
          </cell>
          <cell r="C384" t="str">
            <v>CS</v>
          </cell>
          <cell r="D384">
            <v>0.2</v>
          </cell>
        </row>
        <row r="385">
          <cell r="A385" t="str">
            <v>DU405301C</v>
          </cell>
          <cell r="B385" t="str">
            <v>*Qualité Medium 3 Comp 8.57 x 8.57 x 2.84 Hing Cont 150/cs</v>
          </cell>
          <cell r="C385" t="str">
            <v>CS</v>
          </cell>
          <cell r="D385">
            <v>0.15</v>
          </cell>
        </row>
        <row r="386">
          <cell r="A386" t="str">
            <v>DU403199HV-R004845</v>
          </cell>
          <cell r="B386" t="str">
            <v>*!M-205 Vented Heavy Duty Black 200/cs (EMB/OASIS)</v>
          </cell>
          <cell r="C386" t="str">
            <v>CS</v>
          </cell>
          <cell r="D386">
            <v>0.2</v>
          </cell>
        </row>
        <row r="387">
          <cell r="A387" t="str">
            <v>DU409199-R007111</v>
          </cell>
          <cell r="B387" t="str">
            <v>!D-1 Black 500/cs (EMB/SKYLINE)</v>
          </cell>
          <cell r="C387" t="str">
            <v>CS</v>
          </cell>
          <cell r="D387">
            <v>0.5</v>
          </cell>
        </row>
        <row r="388">
          <cell r="A388" t="str">
            <v>DU408301-R005467</v>
          </cell>
          <cell r="B388" t="str">
            <v>*!O-3 White 200/cs (EMB/Chez Joseito)  </v>
          </cell>
          <cell r="C388" t="str">
            <v>CS</v>
          </cell>
          <cell r="D388">
            <v>0.2</v>
          </cell>
        </row>
        <row r="389">
          <cell r="A389" t="str">
            <v>DU406199-R004787</v>
          </cell>
          <cell r="B389" t="str">
            <v>*S-1  Black 200/cs (EMB/BAR145)</v>
          </cell>
          <cell r="C389" t="str">
            <v>CS</v>
          </cell>
          <cell r="D389">
            <v>0.2</v>
          </cell>
        </row>
        <row r="390">
          <cell r="A390" t="str">
            <v>DU406101V-R004846</v>
          </cell>
          <cell r="B390" t="str">
            <v>*S-1 Vented White 200/cs (EMB/OASIS)</v>
          </cell>
          <cell r="C390" t="str">
            <v>CS</v>
          </cell>
          <cell r="D390">
            <v>0.2</v>
          </cell>
        </row>
        <row r="391">
          <cell r="A391" t="str">
            <v>DU4061101-R006393</v>
          </cell>
          <cell r="B391" t="str">
            <v>*!S-1White200/cs(EMB/BOZOS)</v>
          </cell>
          <cell r="C391" t="str">
            <v>CS</v>
          </cell>
          <cell r="D391">
            <v>0.2</v>
          </cell>
        </row>
        <row r="392">
          <cell r="A392" t="str">
            <v>DU4063101-R007226</v>
          </cell>
          <cell r="B392" t="str">
            <v>!S-3 White 200/cs (EMB/HOTSPOT)</v>
          </cell>
          <cell r="C392" t="str">
            <v>CS</v>
          </cell>
          <cell r="D392">
            <v>0.2</v>
          </cell>
        </row>
        <row r="393">
          <cell r="A393" t="str">
            <v>DU406199-R005658</v>
          </cell>
          <cell r="B393" t="str">
            <v>*!S-1 Black 200/cs (EMB/BIG WHISKEY)</v>
          </cell>
          <cell r="C393" t="str">
            <v>CS</v>
          </cell>
          <cell r="D393">
            <v>0.2</v>
          </cell>
        </row>
        <row r="394">
          <cell r="A394" t="str">
            <v>DU4063199V</v>
          </cell>
          <cell r="B394" t="str">
            <v>Foam S-3 VENTED, 9.0” x 9.0” x 3.1” 200/cs BLACK</v>
          </cell>
          <cell r="C394" t="str">
            <v>CS</v>
          </cell>
          <cell r="D394">
            <v>0.2</v>
          </cell>
        </row>
        <row r="395">
          <cell r="A395" t="str">
            <v>DU4011199-R005278</v>
          </cell>
          <cell r="B395" t="str">
            <v>*!G-1  Black 500/cs (EMB/FOXS DEN)</v>
          </cell>
          <cell r="C395" t="str">
            <v>CS</v>
          </cell>
          <cell r="D395">
            <v>0.5</v>
          </cell>
        </row>
        <row r="396">
          <cell r="A396" t="str">
            <v>DU406399-R005281</v>
          </cell>
          <cell r="B396" t="str">
            <v>*!S-3  Black 200/cs (EMB/EL TACO TOTE)</v>
          </cell>
          <cell r="C396" t="str">
            <v>CS</v>
          </cell>
          <cell r="D396">
            <v>0.2</v>
          </cell>
        </row>
        <row r="397">
          <cell r="A397" t="str">
            <v>DU5211101</v>
          </cell>
          <cell r="B397" t="str">
            <v>*Foam 9''x11''x7/8'' Oval Platter, 500/cs</v>
          </cell>
          <cell r="C397" t="str">
            <v>CS</v>
          </cell>
          <cell r="D397">
            <v>0.5</v>
          </cell>
        </row>
        <row r="398">
          <cell r="A398" t="str">
            <v>DU2014601</v>
          </cell>
          <cell r="B398" t="str">
            <v>6 Compartment School Lunch Tray (12.4''x8.4''x1.1''), 500/cs</v>
          </cell>
          <cell r="C398" t="str">
            <v>CS</v>
          </cell>
          <cell r="D398">
            <v>0.5</v>
          </cell>
        </row>
        <row r="399">
          <cell r="A399" t="str">
            <v>DU40B101-R004725</v>
          </cell>
          <cell r="B399" t="str">
            <v>*A-102  White 200/cs (EMB/FRICKERS)</v>
          </cell>
          <cell r="C399" t="str">
            <v>CS</v>
          </cell>
          <cell r="D399">
            <v>0.2</v>
          </cell>
        </row>
        <row r="400">
          <cell r="A400" t="str">
            <v>DU403199H</v>
          </cell>
          <cell r="B400" t="str">
            <v>Foam M205, 9.25'' x 6.75'' x 2.75'' H/C, 200/cs Heavy Duty,</v>
          </cell>
          <cell r="C400" t="str">
            <v>CS</v>
          </cell>
          <cell r="D400">
            <v>0.2</v>
          </cell>
        </row>
        <row r="401">
          <cell r="A401" t="str">
            <v>DU403199H-R005039</v>
          </cell>
          <cell r="B401" t="str">
            <v>*M-205 Heavy Duty Black 200/cs (EMB/GOLD STAR CHILI)</v>
          </cell>
          <cell r="C401" t="str">
            <v>CS</v>
          </cell>
          <cell r="D401">
            <v>0.2</v>
          </cell>
        </row>
        <row r="402">
          <cell r="A402" t="str">
            <v>DU4061199-R006267</v>
          </cell>
          <cell r="B402" t="str">
            <v>*!S-1  Black 200/cs (EMB/ALEXS)</v>
          </cell>
          <cell r="C402" t="str">
            <v>CS</v>
          </cell>
          <cell r="D402">
            <v>0.2</v>
          </cell>
        </row>
        <row r="403">
          <cell r="A403" t="str">
            <v>DU407399V</v>
          </cell>
          <cell r="B403" t="str">
            <v>Foam U-3 Vented,10x10.25x3.5, 3 Comp. Xtra Large H/C , 200/c</v>
          </cell>
          <cell r="C403" t="str">
            <v>CS</v>
          </cell>
          <cell r="D403">
            <v>0.2</v>
          </cell>
        </row>
        <row r="404">
          <cell r="A404" t="str">
            <v>DU401199-R006078</v>
          </cell>
          <cell r="B404" t="str">
            <v>*!G-1  Black 500/cs (EMB/CAPTJAYS)</v>
          </cell>
          <cell r="C404" t="str">
            <v>CS</v>
          </cell>
          <cell r="D404">
            <v>0.5</v>
          </cell>
        </row>
        <row r="405">
          <cell r="A405" t="str">
            <v>DU406301-R005553</v>
          </cell>
          <cell r="B405" t="str">
            <v>*!S-3White200/cs(EMB/Breakfastime)</v>
          </cell>
          <cell r="C405" t="str">
            <v>CS</v>
          </cell>
          <cell r="D405">
            <v>0.2</v>
          </cell>
        </row>
        <row r="406">
          <cell r="A406" t="str">
            <v>DU406201-R004595</v>
          </cell>
          <cell r="B406" t="str">
            <v>*S-2  White 200/cs (EMB/TASTY BBQ)</v>
          </cell>
          <cell r="C406" t="str">
            <v>CS</v>
          </cell>
          <cell r="D406">
            <v>0.2</v>
          </cell>
        </row>
        <row r="407">
          <cell r="A407" t="str">
            <v>DU4051101-R006480</v>
          </cell>
          <cell r="B407" t="str">
            <v>*!Q-1  White 200/cs (EMB/HAVE A NICE DAY)</v>
          </cell>
          <cell r="C407" t="str">
            <v>CS</v>
          </cell>
          <cell r="D407">
            <v>0.2</v>
          </cell>
        </row>
        <row r="408">
          <cell r="A408" t="str">
            <v>DU4061101V-R006234</v>
          </cell>
          <cell r="B408" t="str">
            <v>*!S-1 Vented White 200/cs (EMB/EL ATLACATL)</v>
          </cell>
          <cell r="C408" t="str">
            <v>CS</v>
          </cell>
          <cell r="D408">
            <v>0.2</v>
          </cell>
        </row>
        <row r="409">
          <cell r="A409" t="str">
            <v>DU407101-R004597</v>
          </cell>
          <cell r="B409" t="str">
            <v>*U-1  White 200/cs (EMB/TASTY BBQ)</v>
          </cell>
          <cell r="C409" t="str">
            <v>CS</v>
          </cell>
          <cell r="D409">
            <v>0.2</v>
          </cell>
        </row>
        <row r="410">
          <cell r="A410" t="str">
            <v>DU403102A</v>
          </cell>
          <cell r="B410" t="str">
            <v>*Darnel Clean Advantage M-205,9.25x6.75x2.75 H/C 200/cs Beig</v>
          </cell>
          <cell r="C410" t="str">
            <v>CS</v>
          </cell>
          <cell r="D410">
            <v>0.2</v>
          </cell>
        </row>
        <row r="411">
          <cell r="A411" t="str">
            <v>DU40A399-R006672</v>
          </cell>
          <cell r="B411" t="str">
            <v>!Y-3Black200/cs(EMB/PEIWEI)</v>
          </cell>
          <cell r="C411" t="str">
            <v>CS</v>
          </cell>
          <cell r="D411">
            <v>0.2</v>
          </cell>
        </row>
        <row r="412">
          <cell r="A412" t="str">
            <v>DU4061101-R006349</v>
          </cell>
          <cell r="B412" t="str">
            <v>*!S-1  White 200/cs (EMB/COLONIALCASA)</v>
          </cell>
          <cell r="C412" t="str">
            <v>CS</v>
          </cell>
          <cell r="D412">
            <v>0.2</v>
          </cell>
        </row>
        <row r="413">
          <cell r="A413" t="str">
            <v>DU40A101V-R006776</v>
          </cell>
          <cell r="B413" t="str">
            <v>*Y-1 Vented White 200/cs (EMB/COOKOUT)</v>
          </cell>
          <cell r="C413" t="str">
            <v>CS</v>
          </cell>
          <cell r="D413">
            <v>0.2</v>
          </cell>
        </row>
        <row r="414">
          <cell r="A414" t="str">
            <v>DU4061101-R005122</v>
          </cell>
          <cell r="B414" t="str">
            <v>*!S-1  White 200/cs (EMB/MUCHAS GRACIAS)</v>
          </cell>
          <cell r="C414" t="str">
            <v>CS</v>
          </cell>
          <cell r="D414">
            <v>0.2</v>
          </cell>
        </row>
        <row r="415">
          <cell r="A415" t="str">
            <v>DU4053199-R006445</v>
          </cell>
          <cell r="B415" t="str">
            <v>*!Q-3  Black 200/cs (EMB/VINES)</v>
          </cell>
          <cell r="C415" t="str">
            <v>CS</v>
          </cell>
          <cell r="D415">
            <v>0.2</v>
          </cell>
        </row>
        <row r="416">
          <cell r="A416" t="str">
            <v>DU4051199V-R007027</v>
          </cell>
          <cell r="B416" t="str">
            <v>!Q-1 Vented Black 200/cs (EMB/HUNGRYAF</v>
          </cell>
          <cell r="C416" t="str">
            <v>CS</v>
          </cell>
          <cell r="D416">
            <v>0.2</v>
          </cell>
        </row>
        <row r="417">
          <cell r="A417" t="str">
            <v>DU4061199-R005601</v>
          </cell>
          <cell r="B417" t="str">
            <v>*!S-1  Black 200/cs (EMB/MULLIGANS BEACH HOUSE)</v>
          </cell>
          <cell r="C417" t="str">
            <v>CS</v>
          </cell>
          <cell r="D417">
            <v>0.2</v>
          </cell>
        </row>
        <row r="418">
          <cell r="A418" t="str">
            <v>DU406101-R005298</v>
          </cell>
          <cell r="B418" t="str">
            <v>*S-1  White 200/cs (EMB/KELSEYS PIZZERIA)</v>
          </cell>
          <cell r="C418" t="str">
            <v>CS</v>
          </cell>
          <cell r="D418">
            <v>0.2</v>
          </cell>
        </row>
        <row r="419">
          <cell r="A419" t="str">
            <v>DU406199-R004263</v>
          </cell>
          <cell r="B419" t="str">
            <v>*S-1  Black 200/cs (EMB/ BOBBY S)</v>
          </cell>
          <cell r="C419" t="str">
            <v>CS</v>
          </cell>
          <cell r="D419">
            <v>0.2</v>
          </cell>
        </row>
        <row r="420">
          <cell r="A420" t="str">
            <v>DU40A301-R000001</v>
          </cell>
          <cell r="B420" t="str">
            <v>*!Y-3 White 200/cs (EMB/HAVE A NICE DAY)</v>
          </cell>
          <cell r="C420" t="str">
            <v>CS</v>
          </cell>
          <cell r="D420">
            <v>0.2</v>
          </cell>
        </row>
        <row r="421">
          <cell r="A421" t="str">
            <v>DU403199HV-R005729</v>
          </cell>
          <cell r="B421" t="str">
            <v>*!M-205 Vented Heavy Duty Black 200/cs (EMB/WING DADDY)</v>
          </cell>
          <cell r="C421" t="str">
            <v>CS</v>
          </cell>
          <cell r="D421">
            <v>0.2</v>
          </cell>
        </row>
        <row r="422">
          <cell r="A422" t="str">
            <v>DU406101-R004994</v>
          </cell>
          <cell r="B422" t="str">
            <v>*S-1  White 200/cs (EMB/WEBER GRILL)</v>
          </cell>
          <cell r="C422" t="str">
            <v>CS</v>
          </cell>
          <cell r="D422">
            <v>0.2</v>
          </cell>
        </row>
        <row r="423">
          <cell r="A423" t="str">
            <v>DU40B101S</v>
          </cell>
          <cell r="B423" t="str">
            <v>*A-101, 5.25 L x 8.31 W x 2 H Rect. Single Comp. H/C, 200/cs</v>
          </cell>
          <cell r="C423" t="str">
            <v>CS</v>
          </cell>
          <cell r="D423">
            <v>0.2</v>
          </cell>
        </row>
        <row r="424">
          <cell r="A424" t="str">
            <v>DU406101V-R005214</v>
          </cell>
          <cell r="B424" t="str">
            <v>*!S-1 Vented White 200/cs (EMB/PIESANOS)</v>
          </cell>
          <cell r="C424" t="str">
            <v>CS</v>
          </cell>
          <cell r="D424">
            <v>0.2</v>
          </cell>
        </row>
        <row r="425">
          <cell r="A425" t="str">
            <v>DU402199-R004605</v>
          </cell>
          <cell r="B425" t="str">
            <v>*B-1  Black 500/cs (EMB/CHUTNEY JOE)</v>
          </cell>
          <cell r="C425" t="str">
            <v>CS</v>
          </cell>
          <cell r="D425">
            <v>0.5</v>
          </cell>
        </row>
        <row r="426">
          <cell r="A426" t="str">
            <v>DU403199H-R005165</v>
          </cell>
          <cell r="B426" t="str">
            <v>*M-205 Heavy Duty Black 200/cs (EMB/SHOELESS JOES)</v>
          </cell>
          <cell r="C426" t="str">
            <v>CS</v>
          </cell>
          <cell r="D426">
            <v>0.2</v>
          </cell>
        </row>
        <row r="427">
          <cell r="A427" t="str">
            <v>DU4051199V-R005485</v>
          </cell>
          <cell r="B427" t="str">
            <v>*!Q-1 Vented Black 200/cs (EMB/MIAMI SUBS)</v>
          </cell>
          <cell r="C427" t="str">
            <v>CS</v>
          </cell>
          <cell r="D427">
            <v>0.2</v>
          </cell>
        </row>
        <row r="428">
          <cell r="A428" t="str">
            <v>DU403199H-R007107</v>
          </cell>
          <cell r="B428" t="str">
            <v>!M205 Black 200/cs (EMB?SKYLINE)</v>
          </cell>
          <cell r="C428" t="str">
            <v>CS</v>
          </cell>
          <cell r="D428">
            <v>0.2</v>
          </cell>
        </row>
        <row r="429">
          <cell r="A429" t="str">
            <v>DU4063101-R005162</v>
          </cell>
          <cell r="B429" t="str">
            <v>*!S-3  White 200/cs (EMB/ CHAMPS)</v>
          </cell>
          <cell r="C429" t="str">
            <v>CS</v>
          </cell>
          <cell r="D429">
            <v>0.2</v>
          </cell>
        </row>
        <row r="430">
          <cell r="A430" t="str">
            <v>DU407201V</v>
          </cell>
          <cell r="B430" t="str">
            <v>*Foam U-2 Vented,10x10.25x3.5, 2 Comp. Xtra Large H/C , 200/</v>
          </cell>
          <cell r="C430" t="str">
            <v>CS</v>
          </cell>
          <cell r="D430">
            <v>0.2</v>
          </cell>
        </row>
        <row r="431">
          <cell r="A431" t="str">
            <v>DU4063101-R006431</v>
          </cell>
          <cell r="B431" t="str">
            <v>*!S-3  White 200/cs (EMB/FRENCHMANS CREEK)</v>
          </cell>
          <cell r="C431" t="str">
            <v>CS</v>
          </cell>
          <cell r="D431">
            <v>0.2</v>
          </cell>
        </row>
        <row r="432">
          <cell r="A432" t="str">
            <v>DU406199-R005038</v>
          </cell>
          <cell r="B432" t="str">
            <v>*S-1  Black 200/cs (EMB/GOLD STAR CHILI)</v>
          </cell>
          <cell r="C432" t="str">
            <v>CS</v>
          </cell>
          <cell r="D432">
            <v>0.2</v>
          </cell>
        </row>
        <row r="433">
          <cell r="A433" t="str">
            <v>DU406102A</v>
          </cell>
          <cell r="B433" t="str">
            <v>*Darnel Clean Advantage S-1, 9.18 x 9.18 x 3 Hing.Cont. 200/</v>
          </cell>
          <cell r="C433" t="str">
            <v>CS</v>
          </cell>
          <cell r="D433">
            <v>0.2</v>
          </cell>
        </row>
        <row r="434">
          <cell r="A434" t="str">
            <v>DU406199V-R005547</v>
          </cell>
          <cell r="B434" t="str">
            <v>*!S-1 Vented Black 200/cs (EMB/Lima’s Chicken) </v>
          </cell>
          <cell r="C434" t="str">
            <v>CS</v>
          </cell>
          <cell r="D434">
            <v>0.2</v>
          </cell>
        </row>
        <row r="435">
          <cell r="A435" t="str">
            <v>DU4063101V-R006404</v>
          </cell>
          <cell r="B435" t="str">
            <v>*!S-3 Vented White 200/cs (EMB/OYSTER HOUSE)</v>
          </cell>
          <cell r="C435" t="str">
            <v>CS</v>
          </cell>
          <cell r="D435">
            <v>0.2</v>
          </cell>
        </row>
        <row r="436">
          <cell r="A436" t="str">
            <v>DU4063199-R006366</v>
          </cell>
          <cell r="B436" t="str">
            <v>*!S-3  Black 200/cs (EMB/DICKRBBQ)</v>
          </cell>
          <cell r="C436" t="str">
            <v>CS</v>
          </cell>
          <cell r="D436">
            <v>0.2</v>
          </cell>
        </row>
        <row r="437">
          <cell r="A437" t="str">
            <v>DU403101H-R006480</v>
          </cell>
          <cell r="B437" t="str">
            <v>!M-205 HeavyDuty White 200/cs(EMB/IMOsPizza)</v>
          </cell>
          <cell r="C437" t="str">
            <v>CS</v>
          </cell>
          <cell r="D437">
            <v>0.2</v>
          </cell>
        </row>
        <row r="438">
          <cell r="A438" t="str">
            <v>DU4061199V-R006901</v>
          </cell>
          <cell r="B438" t="str">
            <v>!S-1 Vented Black 200/cs (EMB/MIAMIGRILL)</v>
          </cell>
          <cell r="C438" t="str">
            <v>CS</v>
          </cell>
          <cell r="D438">
            <v>0.2</v>
          </cell>
        </row>
        <row r="439">
          <cell r="A439" t="str">
            <v>DU403199HV</v>
          </cell>
          <cell r="B439" t="str">
            <v>Foam M-205, 9.25'' x 6.75'' x 2.75'' Single Comp Heavy Duty</v>
          </cell>
          <cell r="C439" t="str">
            <v>CS</v>
          </cell>
          <cell r="D439">
            <v>0.2</v>
          </cell>
        </row>
        <row r="440">
          <cell r="A440" t="str">
            <v>DU4053101SC</v>
          </cell>
          <cell r="B440" t="str">
            <v>*Foam QSC-3, 8.1x8.2x2.36 3 Comp. Xtra Low Divider H/C, 200</v>
          </cell>
          <cell r="C440" t="str">
            <v>CS</v>
          </cell>
          <cell r="D440">
            <v>0.2</v>
          </cell>
        </row>
        <row r="441">
          <cell r="A441" t="str">
            <v>DU406199V-R004846</v>
          </cell>
          <cell r="B441" t="str">
            <v>*S-1 Vented Black 200/cs (EMB/OASIS)</v>
          </cell>
          <cell r="C441" t="str">
            <v>CS</v>
          </cell>
          <cell r="D441">
            <v>0.2</v>
          </cell>
        </row>
        <row r="442">
          <cell r="A442" t="str">
            <v>DU406399-R005301</v>
          </cell>
          <cell r="B442" t="str">
            <v>*!S-3  Black 200/cs (EMB/TACOS CHINAMPA)</v>
          </cell>
          <cell r="C442" t="str">
            <v>CS</v>
          </cell>
          <cell r="D442">
            <v>0.2</v>
          </cell>
        </row>
        <row r="443">
          <cell r="A443" t="str">
            <v>DU405302A</v>
          </cell>
          <cell r="B443" t="str">
            <v>*Darnel Clean Advantage Q-3, 8.57 x 8.57 x 2.84 Hing. Cont.3</v>
          </cell>
          <cell r="C443" t="str">
            <v>CS</v>
          </cell>
          <cell r="D443">
            <v>0.2</v>
          </cell>
        </row>
        <row r="444">
          <cell r="A444" t="str">
            <v>DU403101H-R005544</v>
          </cell>
          <cell r="B444" t="str">
            <v>*!M-205HeavyDutyWhite200/cs(EMB/ElToro</v>
          </cell>
          <cell r="C444" t="str">
            <v>CS</v>
          </cell>
          <cell r="D444">
            <v>0.2</v>
          </cell>
        </row>
        <row r="445">
          <cell r="A445" t="str">
            <v>DU401199</v>
          </cell>
          <cell r="B445" t="str">
            <v>¡Foam G-1, 6.25 x 6.25 x 3.1 Hing. Cont., 500/cs in Black</v>
          </cell>
          <cell r="C445" t="str">
            <v>CS</v>
          </cell>
          <cell r="D445">
            <v>0.5</v>
          </cell>
        </row>
        <row r="446">
          <cell r="A446" t="str">
            <v>DU4061101V-R006330</v>
          </cell>
          <cell r="B446" t="str">
            <v>*!S-1 Vented White 200/cs (EMB/MYKONOS)</v>
          </cell>
          <cell r="C446" t="str">
            <v>CS</v>
          </cell>
          <cell r="D446">
            <v>0.2</v>
          </cell>
        </row>
        <row r="447">
          <cell r="A447" t="str">
            <v>DU4061199V-R006368</v>
          </cell>
          <cell r="B447" t="str">
            <v>*!S-1 Vented Black 200/cs (EMB/BLINDPIG)</v>
          </cell>
          <cell r="C447" t="str">
            <v>CS</v>
          </cell>
          <cell r="D447">
            <v>0.2</v>
          </cell>
        </row>
        <row r="448">
          <cell r="A448" t="str">
            <v>DU5005599</v>
          </cell>
          <cell r="B448" t="str">
            <v>*Foam 5 oz Bowl (4.75''x1.5''), 1000/cs in Black</v>
          </cell>
          <cell r="C448" t="str">
            <v>CS</v>
          </cell>
          <cell r="D448">
            <v>1</v>
          </cell>
        </row>
        <row r="449">
          <cell r="A449" t="str">
            <v>DU406101-R004137</v>
          </cell>
          <cell r="B449" t="str">
            <v>*S-1  White 200/cs (EMB/LUME)</v>
          </cell>
          <cell r="C449" t="str">
            <v>CS</v>
          </cell>
          <cell r="D449">
            <v>0.2</v>
          </cell>
        </row>
        <row r="450">
          <cell r="A450" t="str">
            <v>DU403199V-R004847</v>
          </cell>
          <cell r="B450" t="str">
            <v>*!M-1 Vented Black 200/cs (EMB/BURGER BARN)</v>
          </cell>
          <cell r="C450" t="str">
            <v>CS</v>
          </cell>
          <cell r="D450">
            <v>0.2</v>
          </cell>
        </row>
        <row r="451">
          <cell r="A451" t="str">
            <v>DU4051101V-R006367</v>
          </cell>
          <cell r="B451" t="str">
            <v>*!Q-1 Vented White 200/cs(EMB/BREAKFASTIME)</v>
          </cell>
          <cell r="C451" t="str">
            <v>CS</v>
          </cell>
          <cell r="D451">
            <v>0.2</v>
          </cell>
        </row>
        <row r="452">
          <cell r="A452" t="str">
            <v>DU4061101V-R00555</v>
          </cell>
          <cell r="B452" t="str">
            <v>*!S-1VentedWhite200/cs(EMB/PenaltyBox)</v>
          </cell>
          <cell r="C452" t="str">
            <v>CS</v>
          </cell>
          <cell r="D452">
            <v>0.2</v>
          </cell>
        </row>
        <row r="453">
          <cell r="A453" t="str">
            <v>DU405101-R004935</v>
          </cell>
          <cell r="B453" t="str">
            <v>*!Q-1  White 200/cs (EMB/LITTLE TOKYO)</v>
          </cell>
          <cell r="C453" t="str">
            <v>CS</v>
          </cell>
          <cell r="D453">
            <v>0.2</v>
          </cell>
        </row>
        <row r="454">
          <cell r="A454" t="str">
            <v>DU405301-R005514</v>
          </cell>
          <cell r="B454" t="str">
            <v>*!Q-3 White200/cs(EMB/IDEALMARKET)</v>
          </cell>
          <cell r="C454" t="str">
            <v>CS</v>
          </cell>
          <cell r="D454">
            <v>0.2</v>
          </cell>
        </row>
        <row r="455">
          <cell r="A455" t="str">
            <v>DU403299-R006444</v>
          </cell>
          <cell r="B455" t="str">
            <v>*!M-2  Black 200/cs (EMB/VINES)</v>
          </cell>
          <cell r="C455" t="str">
            <v>CS</v>
          </cell>
          <cell r="D455">
            <v>0.2</v>
          </cell>
        </row>
        <row r="456">
          <cell r="A456" t="str">
            <v>DU405101V</v>
          </cell>
          <cell r="B456" t="str">
            <v>*Foam Q-1 VENTED, 8.57'' x 8.57'' x 2.84'' , 200/cs (white)</v>
          </cell>
          <cell r="C456" t="str">
            <v>CS</v>
          </cell>
          <cell r="D456">
            <v>0.2</v>
          </cell>
        </row>
        <row r="457">
          <cell r="A457" t="str">
            <v>DU4061199-R006071</v>
          </cell>
          <cell r="B457" t="str">
            <v>*!S-1  Black 200/cs (EMB/MCGUIRES DESTIN)</v>
          </cell>
          <cell r="C457" t="str">
            <v>CS</v>
          </cell>
          <cell r="D457">
            <v>0.2</v>
          </cell>
        </row>
        <row r="458">
          <cell r="A458" t="str">
            <v>DU406199V-R005565</v>
          </cell>
          <cell r="B458" t="str">
            <v>*!S-1 Vented Black 200/cs (EMB/WING DADDY)</v>
          </cell>
          <cell r="C458" t="str">
            <v>CS</v>
          </cell>
          <cell r="D458">
            <v>0.2</v>
          </cell>
        </row>
        <row r="459">
          <cell r="A459" t="str">
            <v>DU403199V-R005157</v>
          </cell>
          <cell r="B459" t="str">
            <v>*M-1 Vented Black 200/cs (EMB/MERKS)</v>
          </cell>
          <cell r="C459" t="str">
            <v>CS</v>
          </cell>
          <cell r="D459">
            <v>0.2</v>
          </cell>
        </row>
        <row r="460">
          <cell r="A460" t="str">
            <v>DU4061101V</v>
          </cell>
          <cell r="B460" t="str">
            <v>Foam S-1 VENTED, 9.0 x 9.0 x 3.1 , 200/cs (white)</v>
          </cell>
          <cell r="C460" t="str">
            <v>CS</v>
          </cell>
          <cell r="D460">
            <v>0.2</v>
          </cell>
        </row>
        <row r="461">
          <cell r="A461" t="str">
            <v>DU4051101-R004142</v>
          </cell>
          <cell r="B461" t="str">
            <v>*!Q-1  White 200/cs (EMB/CHINESE PAGODA)</v>
          </cell>
          <cell r="C461" t="str">
            <v>CS</v>
          </cell>
          <cell r="D461">
            <v>0.2</v>
          </cell>
        </row>
        <row r="462">
          <cell r="A462" t="str">
            <v>DU402102A</v>
          </cell>
          <cell r="B462" t="str">
            <v>*Darnel Clean Advantage B-1 5.125 X 5.25 X 2.75 Sm Sandwich</v>
          </cell>
          <cell r="C462" t="str">
            <v>CS</v>
          </cell>
          <cell r="D462">
            <v>0.5</v>
          </cell>
        </row>
        <row r="463">
          <cell r="A463" t="str">
            <v>DU409199-R005036</v>
          </cell>
          <cell r="B463" t="str">
            <v>*D-1  Black 500/cs (EMB/GOLD STAR CHILI)</v>
          </cell>
          <cell r="C463" t="str">
            <v>CS</v>
          </cell>
          <cell r="D463">
            <v>0.5</v>
          </cell>
        </row>
        <row r="464">
          <cell r="A464" t="str">
            <v>DU403199HV-R006308</v>
          </cell>
          <cell r="B464" t="str">
            <v>*!M-205 Vented Heavy Duty Black 200/cs (EMB/SIDELINES)</v>
          </cell>
          <cell r="C464" t="str">
            <v>CS</v>
          </cell>
          <cell r="D464">
            <v>0.2</v>
          </cell>
        </row>
        <row r="465">
          <cell r="A465" t="str">
            <v>DU405102A</v>
          </cell>
          <cell r="B465" t="str">
            <v>*Darnel Clean Advantage Q-1, 8.57 x 8.57 x 2.84  Hing. Cont.</v>
          </cell>
          <cell r="C465" t="str">
            <v>CS</v>
          </cell>
          <cell r="D465">
            <v>0.2</v>
          </cell>
        </row>
        <row r="466">
          <cell r="A466" t="str">
            <v>DU2014502A</v>
          </cell>
          <cell r="B466" t="str">
            <v>*Darnel Clean Advantage 5Comp.LunchTray(10.4x8.4x1.1),500/cs</v>
          </cell>
          <cell r="C466" t="str">
            <v>CS</v>
          </cell>
          <cell r="D466">
            <v>0.5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D6CE-1EC6-4449-A20D-D497290BCC25}">
  <dimension ref="A1:I70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ColWidth="8.7265625" defaultRowHeight="12.5"/>
  <cols>
    <col min="1" max="1" width="18.36328125" bestFit="1" customWidth="1"/>
    <col min="2" max="2" width="56.7265625" bestFit="1" customWidth="1"/>
    <col min="3" max="3" width="4.36328125" bestFit="1" customWidth="1"/>
    <col min="4" max="4" width="11.36328125" style="7" bestFit="1" customWidth="1"/>
  </cols>
  <sheetData>
    <row r="1" spans="1:9" ht="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4" t="s">
        <v>11</v>
      </c>
      <c r="D2" s="5">
        <v>10</v>
      </c>
      <c r="E2" s="6">
        <f>+VLOOKUP(A2,[1]Sheet3!A:D,4,FALSE)</f>
        <v>0.5</v>
      </c>
      <c r="F2" s="6">
        <f>+D2/E2</f>
        <v>20</v>
      </c>
      <c r="G2" s="6">
        <v>2762.25</v>
      </c>
      <c r="H2" s="6">
        <v>1085.8499999999999</v>
      </c>
      <c r="I2" s="6">
        <v>882.65</v>
      </c>
    </row>
    <row r="3" spans="1:9">
      <c r="A3" s="4" t="s">
        <v>12</v>
      </c>
      <c r="B3" s="4" t="s">
        <v>13</v>
      </c>
      <c r="C3" s="4" t="s">
        <v>11</v>
      </c>
      <c r="D3" s="5">
        <v>10</v>
      </c>
      <c r="E3" s="6">
        <f>+VLOOKUP(A3,[1]Sheet3!A:D,4,FALSE)</f>
        <v>0.5</v>
      </c>
      <c r="F3" s="6">
        <f t="shared" ref="F3:F66" si="0">+D3/E3</f>
        <v>20</v>
      </c>
      <c r="G3" s="6">
        <v>2762.25</v>
      </c>
      <c r="H3" s="6">
        <v>1085.8499999999999</v>
      </c>
      <c r="I3" s="6">
        <v>882.65</v>
      </c>
    </row>
    <row r="4" spans="1:9">
      <c r="A4" s="4" t="s">
        <v>14</v>
      </c>
      <c r="B4" s="4" t="s">
        <v>15</v>
      </c>
      <c r="C4" s="4" t="s">
        <v>11</v>
      </c>
      <c r="D4" s="5">
        <v>10</v>
      </c>
      <c r="E4" s="6">
        <f>+VLOOKUP(A4,[1]Sheet3!A:D,4,FALSE)</f>
        <v>0.5</v>
      </c>
      <c r="F4" s="6">
        <f t="shared" si="0"/>
        <v>20</v>
      </c>
      <c r="G4" s="6">
        <v>2778.125</v>
      </c>
      <c r="H4" s="6">
        <v>1308.0999999999999</v>
      </c>
      <c r="I4" s="6">
        <v>895.34999999999991</v>
      </c>
    </row>
    <row r="5" spans="1:9">
      <c r="A5" s="4" t="s">
        <v>16</v>
      </c>
      <c r="B5" s="4" t="s">
        <v>17</v>
      </c>
      <c r="C5" s="4" t="s">
        <v>11</v>
      </c>
      <c r="D5" s="5">
        <v>16</v>
      </c>
      <c r="E5" s="6">
        <f>+VLOOKUP(A5,[1]Sheet3!A:D,4,FALSE)</f>
        <v>0.5</v>
      </c>
      <c r="F5" s="6">
        <f t="shared" si="0"/>
        <v>32</v>
      </c>
      <c r="G5" s="6">
        <v>2501.8999999999996</v>
      </c>
      <c r="H5" s="6">
        <v>1492.25</v>
      </c>
      <c r="I5" s="6">
        <v>1282.6999999999998</v>
      </c>
    </row>
    <row r="6" spans="1:9">
      <c r="A6" s="4" t="s">
        <v>18</v>
      </c>
      <c r="B6" s="4" t="s">
        <v>19</v>
      </c>
      <c r="C6" s="4" t="s">
        <v>11</v>
      </c>
      <c r="D6" s="5">
        <v>16</v>
      </c>
      <c r="E6" s="6">
        <f>+VLOOKUP(A6,[1]Sheet3!A:D,4,FALSE)</f>
        <v>0.5</v>
      </c>
      <c r="F6" s="6">
        <f t="shared" si="0"/>
        <v>32</v>
      </c>
      <c r="G6" s="6">
        <v>2501.8999999999996</v>
      </c>
      <c r="H6" s="6">
        <v>1492.25</v>
      </c>
      <c r="I6" s="6">
        <v>1282.6999999999998</v>
      </c>
    </row>
    <row r="7" spans="1:9">
      <c r="A7" s="4" t="s">
        <v>20</v>
      </c>
      <c r="B7" s="4" t="s">
        <v>21</v>
      </c>
      <c r="C7" s="4" t="s">
        <v>11</v>
      </c>
      <c r="D7" s="5">
        <v>16</v>
      </c>
      <c r="E7" s="6">
        <f>+VLOOKUP(A7,[1]Sheet3!A:D,4,FALSE)</f>
        <v>0.5</v>
      </c>
      <c r="F7" s="6">
        <f t="shared" si="0"/>
        <v>32</v>
      </c>
      <c r="G7" s="6">
        <v>2247.9</v>
      </c>
      <c r="H7" s="6">
        <v>1238.25</v>
      </c>
      <c r="I7" s="6">
        <v>1104.8999999999999</v>
      </c>
    </row>
    <row r="8" spans="1:9">
      <c r="A8" s="4" t="s">
        <v>22</v>
      </c>
      <c r="B8" s="4" t="s">
        <v>23</v>
      </c>
      <c r="C8" s="4" t="s">
        <v>11</v>
      </c>
      <c r="D8" s="5">
        <v>16</v>
      </c>
      <c r="E8" s="6">
        <f>+VLOOKUP(A8,[1]Sheet3!A:D,4,FALSE)</f>
        <v>0.5</v>
      </c>
      <c r="F8" s="6">
        <f t="shared" si="0"/>
        <v>32</v>
      </c>
      <c r="G8" s="6">
        <v>2247.9</v>
      </c>
      <c r="H8" s="6">
        <v>1238.25</v>
      </c>
      <c r="I8" s="6">
        <v>1104.8999999999999</v>
      </c>
    </row>
    <row r="9" spans="1:9">
      <c r="A9" s="4" t="s">
        <v>24</v>
      </c>
      <c r="B9" s="4" t="s">
        <v>25</v>
      </c>
      <c r="C9" s="4" t="s">
        <v>11</v>
      </c>
      <c r="D9" s="5">
        <v>4.8</v>
      </c>
      <c r="E9" s="6">
        <f>+VLOOKUP(A9,[1]Sheet3!A:D,4,FALSE)</f>
        <v>0.2</v>
      </c>
      <c r="F9" s="6">
        <f t="shared" si="0"/>
        <v>23.999999999999996</v>
      </c>
      <c r="G9" s="6">
        <v>2743.2</v>
      </c>
      <c r="H9" s="6">
        <v>984.25</v>
      </c>
      <c r="I9" s="6">
        <v>1066.8</v>
      </c>
    </row>
    <row r="10" spans="1:9">
      <c r="A10" s="4" t="s">
        <v>26</v>
      </c>
      <c r="B10" s="4" t="s">
        <v>27</v>
      </c>
      <c r="C10" s="4" t="s">
        <v>11</v>
      </c>
      <c r="D10" s="5">
        <v>4.8</v>
      </c>
      <c r="E10" s="6">
        <f>+VLOOKUP(A10,[1]Sheet3!A:D,4,FALSE)</f>
        <v>0.2</v>
      </c>
      <c r="F10" s="6">
        <f t="shared" si="0"/>
        <v>23.999999999999996</v>
      </c>
      <c r="G10" s="6">
        <v>2743.2</v>
      </c>
      <c r="H10" s="6">
        <v>984.25</v>
      </c>
      <c r="I10" s="6">
        <v>1066.8</v>
      </c>
    </row>
    <row r="11" spans="1:9">
      <c r="A11" s="4" t="s">
        <v>28</v>
      </c>
      <c r="B11" s="4" t="s">
        <v>29</v>
      </c>
      <c r="C11" s="4" t="s">
        <v>11</v>
      </c>
      <c r="D11" s="5">
        <v>4.8</v>
      </c>
      <c r="E11" s="6">
        <f>+VLOOKUP(A11,[1]Sheet3!A:D,4,FALSE)</f>
        <v>0.2</v>
      </c>
      <c r="F11" s="6">
        <f t="shared" si="0"/>
        <v>23.999999999999996</v>
      </c>
      <c r="G11" s="6">
        <v>2743.2</v>
      </c>
      <c r="H11" s="6">
        <v>984.25</v>
      </c>
      <c r="I11" s="6">
        <v>1066.8</v>
      </c>
    </row>
    <row r="12" spans="1:9">
      <c r="A12" s="4" t="s">
        <v>30</v>
      </c>
      <c r="B12" s="4" t="s">
        <v>31</v>
      </c>
      <c r="C12" s="4" t="s">
        <v>11</v>
      </c>
      <c r="D12" s="5">
        <v>4.8</v>
      </c>
      <c r="E12" s="6">
        <f>+VLOOKUP(A12,[1]Sheet3!A:D,4,FALSE)</f>
        <v>0.2</v>
      </c>
      <c r="F12" s="6">
        <f t="shared" si="0"/>
        <v>23.999999999999996</v>
      </c>
      <c r="G12" s="6">
        <v>2743.2</v>
      </c>
      <c r="H12" s="6">
        <v>984.25</v>
      </c>
      <c r="I12" s="6">
        <v>1066.8</v>
      </c>
    </row>
    <row r="13" spans="1:9">
      <c r="A13" s="4" t="s">
        <v>32</v>
      </c>
      <c r="B13" s="4" t="s">
        <v>33</v>
      </c>
      <c r="C13" s="4" t="s">
        <v>11</v>
      </c>
      <c r="D13" s="5">
        <v>4.8</v>
      </c>
      <c r="E13" s="6">
        <f>+VLOOKUP(A13,[1]Sheet3!A:D,4,FALSE)</f>
        <v>0.2</v>
      </c>
      <c r="F13" s="6">
        <f t="shared" si="0"/>
        <v>23.999999999999996</v>
      </c>
      <c r="G13" s="6">
        <v>2743.2</v>
      </c>
      <c r="H13" s="6">
        <v>984.25</v>
      </c>
      <c r="I13" s="6">
        <v>1066.8</v>
      </c>
    </row>
    <row r="14" spans="1:9">
      <c r="A14" s="4" t="s">
        <v>34</v>
      </c>
      <c r="B14" s="4" t="s">
        <v>35</v>
      </c>
      <c r="C14" s="4" t="s">
        <v>11</v>
      </c>
      <c r="D14" s="5">
        <v>4.8</v>
      </c>
      <c r="E14" s="6">
        <f>+VLOOKUP(A14,[1]Sheet3!A:D,4,FALSE)</f>
        <v>0.2</v>
      </c>
      <c r="F14" s="6">
        <f t="shared" si="0"/>
        <v>23.999999999999996</v>
      </c>
      <c r="G14" s="6">
        <v>2743.2</v>
      </c>
      <c r="H14" s="6">
        <v>984.25</v>
      </c>
      <c r="I14" s="6">
        <v>1066.8</v>
      </c>
    </row>
    <row r="15" spans="1:9">
      <c r="A15" s="4" t="s">
        <v>36</v>
      </c>
      <c r="B15" s="4" t="s">
        <v>37</v>
      </c>
      <c r="C15" s="4" t="s">
        <v>11</v>
      </c>
      <c r="D15" s="5">
        <v>4.8</v>
      </c>
      <c r="E15" s="6">
        <f>+VLOOKUP(A15,[1]Sheet3!A:D,4,FALSE)</f>
        <v>0.2</v>
      </c>
      <c r="F15" s="6">
        <f t="shared" si="0"/>
        <v>23.999999999999996</v>
      </c>
      <c r="G15" s="6">
        <v>2743.2</v>
      </c>
      <c r="H15" s="6">
        <v>984.25</v>
      </c>
      <c r="I15" s="6">
        <v>1066.8</v>
      </c>
    </row>
    <row r="16" spans="1:9">
      <c r="A16" s="4" t="s">
        <v>38</v>
      </c>
      <c r="B16" s="4" t="s">
        <v>39</v>
      </c>
      <c r="C16" s="4" t="s">
        <v>11</v>
      </c>
      <c r="D16" s="5">
        <v>8</v>
      </c>
      <c r="E16" s="6">
        <f>+VLOOKUP(A16,[1]Sheet3!A:D,4,FALSE)</f>
        <v>0.5</v>
      </c>
      <c r="F16" s="6">
        <f t="shared" si="0"/>
        <v>16</v>
      </c>
      <c r="G16" s="6">
        <v>2247.9</v>
      </c>
      <c r="H16" s="6">
        <v>1079.5</v>
      </c>
      <c r="I16" s="6">
        <v>1066.8</v>
      </c>
    </row>
    <row r="17" spans="1:9">
      <c r="A17" s="4" t="s">
        <v>40</v>
      </c>
      <c r="B17" s="4" t="s">
        <v>41</v>
      </c>
      <c r="C17" s="4" t="s">
        <v>11</v>
      </c>
      <c r="D17" s="5">
        <v>8</v>
      </c>
      <c r="E17" s="6">
        <f>+VLOOKUP(A17,[1]Sheet3!A:D,4,FALSE)</f>
        <v>0.5</v>
      </c>
      <c r="F17" s="6">
        <f t="shared" si="0"/>
        <v>16</v>
      </c>
      <c r="G17" s="6">
        <v>2247.9</v>
      </c>
      <c r="H17" s="6">
        <v>1079.5</v>
      </c>
      <c r="I17" s="6">
        <v>1066.8</v>
      </c>
    </row>
    <row r="18" spans="1:9">
      <c r="A18" s="4" t="s">
        <v>42</v>
      </c>
      <c r="B18" s="4" t="s">
        <v>43</v>
      </c>
      <c r="C18" s="4" t="s">
        <v>11</v>
      </c>
      <c r="D18" s="5">
        <v>4.8</v>
      </c>
      <c r="E18" s="6">
        <f>+VLOOKUP(A18,[1]Sheet3!A:D,4,FALSE)</f>
        <v>0.2</v>
      </c>
      <c r="F18" s="6">
        <f t="shared" si="0"/>
        <v>23.999999999999996</v>
      </c>
      <c r="G18" s="6">
        <v>2609.85</v>
      </c>
      <c r="H18" s="6">
        <v>990.59999999999991</v>
      </c>
      <c r="I18" s="6">
        <v>869.69600000000003</v>
      </c>
    </row>
    <row r="19" spans="1:9">
      <c r="A19" s="4" t="s">
        <v>44</v>
      </c>
      <c r="B19" s="4" t="s">
        <v>45</v>
      </c>
      <c r="C19" s="4" t="s">
        <v>11</v>
      </c>
      <c r="D19" s="5">
        <v>5.4</v>
      </c>
      <c r="E19" s="6">
        <f>+VLOOKUP(A19,[1]Sheet3!A:D,4,FALSE)</f>
        <v>0.15</v>
      </c>
      <c r="F19" s="6">
        <f t="shared" si="0"/>
        <v>36.000000000000007</v>
      </c>
      <c r="G19" s="6">
        <v>2609.85</v>
      </c>
      <c r="H19" s="6">
        <v>869.94999999999993</v>
      </c>
      <c r="I19" s="6">
        <v>1228.7249999999999</v>
      </c>
    </row>
    <row r="20" spans="1:9">
      <c r="A20" s="4" t="s">
        <v>46</v>
      </c>
      <c r="B20" s="4" t="s">
        <v>47</v>
      </c>
      <c r="C20" s="4" t="s">
        <v>11</v>
      </c>
      <c r="D20" s="5">
        <v>4.8</v>
      </c>
      <c r="E20" s="6">
        <f>+VLOOKUP(A20,[1]Sheet3!A:D,4,FALSE)</f>
        <v>0.2</v>
      </c>
      <c r="F20" s="6">
        <f t="shared" si="0"/>
        <v>23.999999999999996</v>
      </c>
      <c r="G20" s="6">
        <v>2609.85</v>
      </c>
      <c r="H20" s="6">
        <v>990.59999999999991</v>
      </c>
      <c r="I20" s="6">
        <v>869.69600000000003</v>
      </c>
    </row>
    <row r="21" spans="1:9">
      <c r="A21" s="4" t="s">
        <v>48</v>
      </c>
      <c r="B21" s="4" t="s">
        <v>49</v>
      </c>
      <c r="C21" s="4" t="s">
        <v>11</v>
      </c>
      <c r="D21" s="5">
        <v>4.8</v>
      </c>
      <c r="E21" s="6">
        <f>+VLOOKUP(A21,[1]Sheet3!A:D,4,FALSE)</f>
        <v>0.2</v>
      </c>
      <c r="F21" s="6">
        <f t="shared" si="0"/>
        <v>23.999999999999996</v>
      </c>
      <c r="G21" s="6">
        <v>2609.85</v>
      </c>
      <c r="H21" s="6">
        <v>990.59999999999991</v>
      </c>
      <c r="I21" s="6">
        <v>869.69600000000003</v>
      </c>
    </row>
    <row r="22" spans="1:9">
      <c r="A22" s="4" t="s">
        <v>50</v>
      </c>
      <c r="B22" s="4" t="s">
        <v>51</v>
      </c>
      <c r="C22" s="4" t="s">
        <v>11</v>
      </c>
      <c r="D22" s="5">
        <v>4.8</v>
      </c>
      <c r="E22" s="6">
        <f>+VLOOKUP(A22,[1]Sheet3!A:D,4,FALSE)</f>
        <v>0.2</v>
      </c>
      <c r="F22" s="6">
        <f t="shared" si="0"/>
        <v>23.999999999999996</v>
      </c>
      <c r="G22" s="6">
        <v>2609.85</v>
      </c>
      <c r="H22" s="6">
        <v>990.59999999999991</v>
      </c>
      <c r="I22" s="6">
        <v>869.69600000000003</v>
      </c>
    </row>
    <row r="23" spans="1:9">
      <c r="A23" s="4" t="s">
        <v>52</v>
      </c>
      <c r="B23" s="4" t="s">
        <v>53</v>
      </c>
      <c r="C23" s="4" t="s">
        <v>11</v>
      </c>
      <c r="D23" s="5">
        <v>4.8</v>
      </c>
      <c r="E23" s="6">
        <f>+VLOOKUP(A23,[1]Sheet3!A:D,4,FALSE)</f>
        <v>0.2</v>
      </c>
      <c r="F23" s="6">
        <f t="shared" si="0"/>
        <v>23.999999999999996</v>
      </c>
      <c r="G23" s="6">
        <v>2609.85</v>
      </c>
      <c r="H23" s="6">
        <v>990.59999999999991</v>
      </c>
      <c r="I23" s="6">
        <v>869.69600000000003</v>
      </c>
    </row>
    <row r="24" spans="1:9">
      <c r="A24" s="4" t="s">
        <v>54</v>
      </c>
      <c r="B24" s="4" t="s">
        <v>55</v>
      </c>
      <c r="C24" s="4" t="s">
        <v>11</v>
      </c>
      <c r="D24" s="5">
        <v>5.4</v>
      </c>
      <c r="E24" s="6">
        <f>+VLOOKUP(A24,[1]Sheet3!A:D,4,FALSE)</f>
        <v>0.15</v>
      </c>
      <c r="F24" s="6">
        <f t="shared" si="0"/>
        <v>36.000000000000007</v>
      </c>
      <c r="G24" s="6">
        <v>2609.85</v>
      </c>
      <c r="H24" s="6">
        <v>869.94999999999993</v>
      </c>
      <c r="I24" s="6">
        <v>1228.7249999999999</v>
      </c>
    </row>
    <row r="25" spans="1:9">
      <c r="A25" s="4" t="s">
        <v>56</v>
      </c>
      <c r="B25" s="4" t="s">
        <v>57</v>
      </c>
      <c r="C25" s="4" t="s">
        <v>11</v>
      </c>
      <c r="D25" s="5">
        <v>4.8</v>
      </c>
      <c r="E25" s="6">
        <f>+VLOOKUP(A25,[1]Sheet3!A:D,4,FALSE)</f>
        <v>0.2</v>
      </c>
      <c r="F25" s="6">
        <f t="shared" si="0"/>
        <v>23.999999999999996</v>
      </c>
      <c r="G25" s="6">
        <v>2609.85</v>
      </c>
      <c r="H25" s="6">
        <v>990.59999999999991</v>
      </c>
      <c r="I25" s="6">
        <v>869.69600000000003</v>
      </c>
    </row>
    <row r="26" spans="1:9">
      <c r="A26" s="4" t="s">
        <v>58</v>
      </c>
      <c r="B26" s="4" t="s">
        <v>59</v>
      </c>
      <c r="C26" s="4" t="s">
        <v>11</v>
      </c>
      <c r="D26" s="5">
        <v>4.8</v>
      </c>
      <c r="E26" s="6">
        <f>+VLOOKUP(A26,[1]Sheet3!A:D,4,FALSE)</f>
        <v>0.2</v>
      </c>
      <c r="F26" s="6">
        <f t="shared" si="0"/>
        <v>23.999999999999996</v>
      </c>
      <c r="G26" s="6">
        <v>2609.85</v>
      </c>
      <c r="H26" s="6">
        <v>990.59999999999991</v>
      </c>
      <c r="I26" s="6">
        <v>869.69600000000003</v>
      </c>
    </row>
    <row r="27" spans="1:9">
      <c r="A27" s="4" t="s">
        <v>60</v>
      </c>
      <c r="B27" s="4" t="s">
        <v>61</v>
      </c>
      <c r="C27" s="4" t="s">
        <v>11</v>
      </c>
      <c r="D27" s="5">
        <v>4.8</v>
      </c>
      <c r="E27" s="6">
        <f>+VLOOKUP(A27,[1]Sheet3!A:D,4,FALSE)</f>
        <v>0.2</v>
      </c>
      <c r="F27" s="6">
        <f t="shared" si="0"/>
        <v>23.999999999999996</v>
      </c>
      <c r="G27" s="6">
        <v>2609.85</v>
      </c>
      <c r="H27" s="6">
        <v>990.59999999999991</v>
      </c>
      <c r="I27" s="6">
        <v>869.69600000000003</v>
      </c>
    </row>
    <row r="28" spans="1:9">
      <c r="A28" s="4" t="s">
        <v>62</v>
      </c>
      <c r="B28" s="4" t="s">
        <v>63</v>
      </c>
      <c r="C28" s="4" t="s">
        <v>11</v>
      </c>
      <c r="D28" s="5">
        <v>4.8</v>
      </c>
      <c r="E28" s="6">
        <f>+VLOOKUP(A28,[1]Sheet3!A:D,4,FALSE)</f>
        <v>0.2</v>
      </c>
      <c r="F28" s="6">
        <f t="shared" si="0"/>
        <v>23.999999999999996</v>
      </c>
      <c r="G28" s="6">
        <v>2609.85</v>
      </c>
      <c r="H28" s="6">
        <v>990.59999999999991</v>
      </c>
      <c r="I28" s="6">
        <v>869.69600000000003</v>
      </c>
    </row>
    <row r="29" spans="1:9">
      <c r="A29" s="4" t="s">
        <v>64</v>
      </c>
      <c r="B29" s="4" t="s">
        <v>65</v>
      </c>
      <c r="C29" s="4" t="s">
        <v>11</v>
      </c>
      <c r="D29" s="5">
        <v>4</v>
      </c>
      <c r="E29" s="6">
        <f>+VLOOKUP(A29,[1]Sheet3!A:D,4,FALSE)</f>
        <v>0.2</v>
      </c>
      <c r="F29" s="6">
        <f t="shared" si="0"/>
        <v>20</v>
      </c>
      <c r="G29" s="6">
        <v>2413</v>
      </c>
      <c r="H29" s="6">
        <v>1047.75</v>
      </c>
      <c r="I29" s="6">
        <v>946.15</v>
      </c>
    </row>
    <row r="30" spans="1:9">
      <c r="A30" s="4" t="s">
        <v>66</v>
      </c>
      <c r="B30" s="4" t="s">
        <v>67</v>
      </c>
      <c r="C30" s="4" t="s">
        <v>11</v>
      </c>
      <c r="D30" s="5">
        <v>4.5</v>
      </c>
      <c r="E30" s="6">
        <f>+VLOOKUP(A30,[1]Sheet3!A:D,4,FALSE)</f>
        <v>0.15</v>
      </c>
      <c r="F30" s="6">
        <f t="shared" si="0"/>
        <v>30</v>
      </c>
      <c r="G30" s="6">
        <v>2413</v>
      </c>
      <c r="H30" s="6">
        <v>946.15</v>
      </c>
      <c r="I30" s="6">
        <v>1219.1999999999998</v>
      </c>
    </row>
    <row r="31" spans="1:9">
      <c r="A31" s="4" t="s">
        <v>68</v>
      </c>
      <c r="B31" s="4" t="s">
        <v>69</v>
      </c>
      <c r="C31" s="4" t="s">
        <v>11</v>
      </c>
      <c r="D31" s="5">
        <v>4</v>
      </c>
      <c r="E31" s="6">
        <f>+VLOOKUP(A31,[1]Sheet3!A:D,4,FALSE)</f>
        <v>0.2</v>
      </c>
      <c r="F31" s="6">
        <f t="shared" si="0"/>
        <v>20</v>
      </c>
      <c r="G31" s="6">
        <v>2413</v>
      </c>
      <c r="H31" s="6">
        <v>1047.75</v>
      </c>
      <c r="I31" s="6">
        <v>946.15</v>
      </c>
    </row>
    <row r="32" spans="1:9">
      <c r="A32" s="4" t="s">
        <v>70</v>
      </c>
      <c r="B32" s="4" t="s">
        <v>71</v>
      </c>
      <c r="C32" s="4" t="s">
        <v>11</v>
      </c>
      <c r="D32" s="5">
        <v>4.5</v>
      </c>
      <c r="E32" s="6">
        <f>+VLOOKUP(A32,[1]Sheet3!A:D,4,FALSE)</f>
        <v>0.15</v>
      </c>
      <c r="F32" s="6">
        <f t="shared" si="0"/>
        <v>30</v>
      </c>
      <c r="G32" s="6">
        <v>2413</v>
      </c>
      <c r="H32" s="6">
        <v>946.15</v>
      </c>
      <c r="I32" s="6">
        <v>1219.1999999999998</v>
      </c>
    </row>
    <row r="33" spans="1:9">
      <c r="A33" s="4" t="s">
        <v>72</v>
      </c>
      <c r="B33" s="4" t="s">
        <v>73</v>
      </c>
      <c r="C33" s="4" t="s">
        <v>11</v>
      </c>
      <c r="D33" s="5">
        <v>4</v>
      </c>
      <c r="E33" s="6">
        <f>+VLOOKUP(A33,[1]Sheet3!A:D,4,FALSE)</f>
        <v>0.2</v>
      </c>
      <c r="F33" s="6">
        <f t="shared" si="0"/>
        <v>20</v>
      </c>
      <c r="G33" s="6">
        <v>2413</v>
      </c>
      <c r="H33" s="6">
        <v>1047.75</v>
      </c>
      <c r="I33" s="6">
        <v>946.15</v>
      </c>
    </row>
    <row r="34" spans="1:9">
      <c r="A34" s="4" t="s">
        <v>74</v>
      </c>
      <c r="B34" s="4" t="s">
        <v>75</v>
      </c>
      <c r="C34" s="4" t="s">
        <v>11</v>
      </c>
      <c r="D34" s="5">
        <v>4</v>
      </c>
      <c r="E34" s="6">
        <f>+VLOOKUP(A34,[1]Sheet3!A:D,4,FALSE)</f>
        <v>0.2</v>
      </c>
      <c r="F34" s="6">
        <f t="shared" si="0"/>
        <v>20</v>
      </c>
      <c r="G34" s="6">
        <v>2413</v>
      </c>
      <c r="H34" s="6">
        <v>1047.75</v>
      </c>
      <c r="I34" s="6">
        <v>946.15</v>
      </c>
    </row>
    <row r="35" spans="1:9">
      <c r="A35" s="4" t="s">
        <v>76</v>
      </c>
      <c r="B35" s="4" t="s">
        <v>77</v>
      </c>
      <c r="C35" s="4" t="s">
        <v>11</v>
      </c>
      <c r="D35" s="5">
        <v>4</v>
      </c>
      <c r="E35" s="6">
        <f>+VLOOKUP(A35,[1]Sheet3!A:D,4,FALSE)</f>
        <v>0.2</v>
      </c>
      <c r="F35" s="6">
        <f t="shared" si="0"/>
        <v>20</v>
      </c>
      <c r="G35" s="6">
        <v>2413</v>
      </c>
      <c r="H35" s="6">
        <v>1047.75</v>
      </c>
      <c r="I35" s="6">
        <v>946.15</v>
      </c>
    </row>
    <row r="36" spans="1:9">
      <c r="A36" s="4" t="s">
        <v>78</v>
      </c>
      <c r="B36" s="4" t="s">
        <v>79</v>
      </c>
      <c r="C36" s="4" t="s">
        <v>11</v>
      </c>
      <c r="D36" s="5">
        <v>4</v>
      </c>
      <c r="E36" s="6">
        <f>+VLOOKUP(A36,[1]Sheet3!A:D,4,FALSE)</f>
        <v>0.2</v>
      </c>
      <c r="F36" s="6">
        <f t="shared" si="0"/>
        <v>20</v>
      </c>
      <c r="G36" s="6">
        <v>2413</v>
      </c>
      <c r="H36" s="6">
        <v>1047.75</v>
      </c>
      <c r="I36" s="6">
        <v>946.15</v>
      </c>
    </row>
    <row r="37" spans="1:9">
      <c r="A37" s="4" t="s">
        <v>80</v>
      </c>
      <c r="B37" s="4" t="s">
        <v>81</v>
      </c>
      <c r="C37" s="4" t="s">
        <v>11</v>
      </c>
      <c r="D37" s="5">
        <v>4</v>
      </c>
      <c r="E37" s="6">
        <f>+VLOOKUP(A37,[1]Sheet3!A:D,4,FALSE)</f>
        <v>0.2</v>
      </c>
      <c r="F37" s="6">
        <f t="shared" si="0"/>
        <v>20</v>
      </c>
      <c r="G37" s="6">
        <v>2413</v>
      </c>
      <c r="H37" s="6">
        <v>1047.75</v>
      </c>
      <c r="I37" s="6">
        <v>946.15</v>
      </c>
    </row>
    <row r="38" spans="1:9">
      <c r="A38" s="4" t="s">
        <v>82</v>
      </c>
      <c r="B38" s="4" t="s">
        <v>83</v>
      </c>
      <c r="C38" s="4" t="s">
        <v>11</v>
      </c>
      <c r="D38" s="5">
        <v>4.5</v>
      </c>
      <c r="E38" s="6">
        <f>+VLOOKUP(A38,[1]Sheet3!A:D,4,FALSE)</f>
        <v>0.15</v>
      </c>
      <c r="F38" s="6">
        <f t="shared" si="0"/>
        <v>30</v>
      </c>
      <c r="G38" s="6">
        <v>2413</v>
      </c>
      <c r="H38" s="6">
        <v>946.15</v>
      </c>
      <c r="I38" s="6">
        <v>1219.1999999999998</v>
      </c>
    </row>
    <row r="39" spans="1:9">
      <c r="A39" s="4" t="s">
        <v>84</v>
      </c>
      <c r="B39" s="4" t="s">
        <v>85</v>
      </c>
      <c r="C39" s="4" t="s">
        <v>11</v>
      </c>
      <c r="D39" s="5">
        <v>4</v>
      </c>
      <c r="E39" s="6">
        <f>+VLOOKUP(A39,[1]Sheet3!A:D,4,FALSE)</f>
        <v>0.2</v>
      </c>
      <c r="F39" s="6">
        <f t="shared" si="0"/>
        <v>20</v>
      </c>
      <c r="G39" s="6">
        <v>2413</v>
      </c>
      <c r="H39" s="6">
        <v>1047.75</v>
      </c>
      <c r="I39" s="6">
        <v>946.15</v>
      </c>
    </row>
    <row r="40" spans="1:9">
      <c r="A40" s="4" t="s">
        <v>86</v>
      </c>
      <c r="B40" s="4" t="s">
        <v>87</v>
      </c>
      <c r="C40" s="4" t="s">
        <v>11</v>
      </c>
      <c r="D40" s="5">
        <v>4.5</v>
      </c>
      <c r="E40" s="6">
        <f>+VLOOKUP(A40,[1]Sheet3!A:D,4,FALSE)</f>
        <v>0.15</v>
      </c>
      <c r="F40" s="6">
        <f t="shared" si="0"/>
        <v>30</v>
      </c>
      <c r="G40" s="6">
        <v>2413</v>
      </c>
      <c r="H40" s="6">
        <v>946.15</v>
      </c>
      <c r="I40" s="6">
        <v>1219.1999999999998</v>
      </c>
    </row>
    <row r="41" spans="1:9">
      <c r="A41" s="4" t="s">
        <v>88</v>
      </c>
      <c r="B41" s="4" t="s">
        <v>89</v>
      </c>
      <c r="C41" s="4" t="s">
        <v>11</v>
      </c>
      <c r="D41" s="5">
        <v>4</v>
      </c>
      <c r="E41" s="6">
        <f>+VLOOKUP(A41,[1]Sheet3!A:D,4,FALSE)</f>
        <v>0.2</v>
      </c>
      <c r="F41" s="6">
        <f t="shared" si="0"/>
        <v>20</v>
      </c>
      <c r="G41" s="6">
        <v>2413</v>
      </c>
      <c r="H41" s="6">
        <v>1047.75</v>
      </c>
      <c r="I41" s="6">
        <v>946.15</v>
      </c>
    </row>
    <row r="42" spans="1:9">
      <c r="A42" s="4" t="s">
        <v>90</v>
      </c>
      <c r="B42" s="4" t="s">
        <v>91</v>
      </c>
      <c r="C42" s="4" t="s">
        <v>11</v>
      </c>
      <c r="D42" s="5">
        <v>4</v>
      </c>
      <c r="E42" s="6">
        <f>+VLOOKUP(A42,[1]Sheet3!A:D,4,FALSE)</f>
        <v>0.2</v>
      </c>
      <c r="F42" s="6">
        <f t="shared" si="0"/>
        <v>20</v>
      </c>
      <c r="G42" s="6">
        <v>2413</v>
      </c>
      <c r="H42" s="6">
        <v>1047.75</v>
      </c>
      <c r="I42" s="6">
        <v>946.15</v>
      </c>
    </row>
    <row r="43" spans="1:9">
      <c r="A43" s="4" t="s">
        <v>92</v>
      </c>
      <c r="B43" s="4" t="s">
        <v>93</v>
      </c>
      <c r="C43" s="4" t="s">
        <v>11</v>
      </c>
      <c r="D43" s="5">
        <v>4</v>
      </c>
      <c r="E43" s="6">
        <f>+VLOOKUP(A43,[1]Sheet3!A:D,4,FALSE)</f>
        <v>0.2</v>
      </c>
      <c r="F43" s="6">
        <f t="shared" si="0"/>
        <v>20</v>
      </c>
      <c r="G43" s="6">
        <v>2413</v>
      </c>
      <c r="H43" s="6">
        <v>1047.75</v>
      </c>
      <c r="I43" s="6">
        <v>946.15</v>
      </c>
    </row>
    <row r="44" spans="1:9">
      <c r="A44" s="4" t="s">
        <v>94</v>
      </c>
      <c r="B44" s="4" t="s">
        <v>95</v>
      </c>
      <c r="C44" s="4" t="s">
        <v>11</v>
      </c>
      <c r="D44" s="5">
        <v>4</v>
      </c>
      <c r="E44" s="6">
        <f>+VLOOKUP(A44,[1]Sheet3!A:D,4,FALSE)</f>
        <v>0.2</v>
      </c>
      <c r="F44" s="6">
        <f t="shared" si="0"/>
        <v>20</v>
      </c>
      <c r="G44" s="6">
        <v>2413</v>
      </c>
      <c r="H44" s="6">
        <v>1238.25</v>
      </c>
      <c r="I44" s="6">
        <v>965.19999999999993</v>
      </c>
    </row>
    <row r="45" spans="1:9">
      <c r="A45" s="4" t="s">
        <v>96</v>
      </c>
      <c r="B45" s="4" t="s">
        <v>97</v>
      </c>
      <c r="C45" s="4" t="s">
        <v>11</v>
      </c>
      <c r="D45" s="5">
        <v>4</v>
      </c>
      <c r="E45" s="6">
        <f>+VLOOKUP(A45,[1]Sheet3!A:D,4,FALSE)</f>
        <v>0.2</v>
      </c>
      <c r="F45" s="6">
        <f t="shared" si="0"/>
        <v>20</v>
      </c>
      <c r="G45" s="6">
        <v>2413</v>
      </c>
      <c r="H45" s="6">
        <v>1047.75</v>
      </c>
      <c r="I45" s="6">
        <v>946.15</v>
      </c>
    </row>
    <row r="46" spans="1:9">
      <c r="A46" s="4" t="s">
        <v>98</v>
      </c>
      <c r="B46" s="4" t="s">
        <v>99</v>
      </c>
      <c r="C46" s="4" t="s">
        <v>11</v>
      </c>
      <c r="D46" s="5">
        <v>4</v>
      </c>
      <c r="E46" s="6">
        <f>+VLOOKUP(A46,[1]Sheet3!A:D,4,FALSE)</f>
        <v>0.2</v>
      </c>
      <c r="F46" s="6">
        <f t="shared" si="0"/>
        <v>20</v>
      </c>
      <c r="G46" s="6">
        <v>2682.875</v>
      </c>
      <c r="H46" s="6">
        <v>1092.2</v>
      </c>
      <c r="I46" s="6">
        <v>1035.05</v>
      </c>
    </row>
    <row r="47" spans="1:9">
      <c r="A47" s="4" t="s">
        <v>100</v>
      </c>
      <c r="B47" s="4" t="s">
        <v>101</v>
      </c>
      <c r="C47" s="4" t="s">
        <v>11</v>
      </c>
      <c r="D47" s="5">
        <v>4</v>
      </c>
      <c r="E47" s="6">
        <f>+VLOOKUP(A47,[1]Sheet3!A:D,4,FALSE)</f>
        <v>0.2</v>
      </c>
      <c r="F47" s="6">
        <f t="shared" si="0"/>
        <v>20</v>
      </c>
      <c r="G47" s="6">
        <v>2682.875</v>
      </c>
      <c r="H47" s="6">
        <v>1092.2</v>
      </c>
      <c r="I47" s="6">
        <v>1035.05</v>
      </c>
    </row>
    <row r="48" spans="1:9">
      <c r="A48" s="4" t="s">
        <v>102</v>
      </c>
      <c r="B48" s="4" t="s">
        <v>103</v>
      </c>
      <c r="C48" s="4" t="s">
        <v>11</v>
      </c>
      <c r="D48" s="5">
        <v>4</v>
      </c>
      <c r="E48" s="6">
        <f>+VLOOKUP(A48,[1]Sheet3!A:D,4,FALSE)</f>
        <v>0.2</v>
      </c>
      <c r="F48" s="6">
        <f t="shared" si="0"/>
        <v>20</v>
      </c>
      <c r="G48" s="6">
        <v>2682.875</v>
      </c>
      <c r="H48" s="6">
        <v>1092.2</v>
      </c>
      <c r="I48" s="6">
        <v>1035.05</v>
      </c>
    </row>
    <row r="49" spans="1:9">
      <c r="A49" s="4" t="s">
        <v>104</v>
      </c>
      <c r="B49" s="4" t="s">
        <v>105</v>
      </c>
      <c r="C49" s="4" t="s">
        <v>11</v>
      </c>
      <c r="D49" s="5">
        <v>4</v>
      </c>
      <c r="E49" s="6">
        <f>+VLOOKUP(A49,[1]Sheet3!A:D,4,FALSE)</f>
        <v>0.2</v>
      </c>
      <c r="F49" s="6">
        <f t="shared" si="0"/>
        <v>20</v>
      </c>
      <c r="G49" s="6">
        <v>2682.875</v>
      </c>
      <c r="H49" s="6">
        <v>1092.2</v>
      </c>
      <c r="I49" s="6">
        <v>1035.05</v>
      </c>
    </row>
    <row r="50" spans="1:9">
      <c r="A50" s="4" t="s">
        <v>106</v>
      </c>
      <c r="B50" s="4" t="s">
        <v>107</v>
      </c>
      <c r="C50" s="4" t="s">
        <v>11</v>
      </c>
      <c r="D50" s="5">
        <v>4</v>
      </c>
      <c r="E50" s="6">
        <f>+VLOOKUP(A50,[1]Sheet3!A:D,4,FALSE)</f>
        <v>0.2</v>
      </c>
      <c r="F50" s="6">
        <f t="shared" si="0"/>
        <v>20</v>
      </c>
      <c r="G50" s="6">
        <v>2682.875</v>
      </c>
      <c r="H50" s="6">
        <v>1092.2</v>
      </c>
      <c r="I50" s="6">
        <v>1035.05</v>
      </c>
    </row>
    <row r="51" spans="1:9">
      <c r="A51" s="4" t="s">
        <v>108</v>
      </c>
      <c r="B51" s="4" t="s">
        <v>109</v>
      </c>
      <c r="C51" s="4" t="s">
        <v>11</v>
      </c>
      <c r="D51" s="5">
        <v>21</v>
      </c>
      <c r="E51" s="6">
        <f>+VLOOKUP(A51,[1]Sheet3!A:D,4,FALSE)</f>
        <v>0.5</v>
      </c>
      <c r="F51" s="6">
        <f t="shared" si="0"/>
        <v>42</v>
      </c>
      <c r="G51" s="6">
        <v>2711.45</v>
      </c>
      <c r="H51" s="6">
        <v>1066.8</v>
      </c>
      <c r="I51" s="6">
        <v>1171.575</v>
      </c>
    </row>
    <row r="52" spans="1:9">
      <c r="A52" s="4" t="s">
        <v>110</v>
      </c>
      <c r="B52" s="4" t="s">
        <v>111</v>
      </c>
      <c r="C52" s="4" t="s">
        <v>11</v>
      </c>
      <c r="D52" s="5">
        <v>4.8</v>
      </c>
      <c r="E52" s="6">
        <f>+VLOOKUP(A52,[1]Sheet3!A:D,4,FALSE)</f>
        <v>0.2</v>
      </c>
      <c r="F52" s="6">
        <f t="shared" si="0"/>
        <v>23.999999999999996</v>
      </c>
      <c r="G52" s="6">
        <v>2438.3999999999996</v>
      </c>
      <c r="H52" s="6">
        <v>1035.05</v>
      </c>
      <c r="I52" s="6">
        <v>812.8</v>
      </c>
    </row>
    <row r="53" spans="1:9">
      <c r="A53" s="4" t="s">
        <v>112</v>
      </c>
      <c r="B53" s="4" t="s">
        <v>113</v>
      </c>
      <c r="C53" s="4" t="s">
        <v>11</v>
      </c>
      <c r="D53" s="5">
        <v>4.8</v>
      </c>
      <c r="E53" s="6">
        <f>+VLOOKUP(A53,[1]Sheet3!A:D,4,FALSE)</f>
        <v>0.2</v>
      </c>
      <c r="F53" s="6">
        <f t="shared" si="0"/>
        <v>23.999999999999996</v>
      </c>
      <c r="G53" s="6">
        <v>2438.3999999999996</v>
      </c>
      <c r="H53" s="6">
        <v>1035.05</v>
      </c>
      <c r="I53" s="6">
        <v>812.8</v>
      </c>
    </row>
    <row r="54" spans="1:9">
      <c r="A54" s="4" t="s">
        <v>114</v>
      </c>
      <c r="B54" s="4" t="s">
        <v>115</v>
      </c>
      <c r="C54" s="4" t="s">
        <v>11</v>
      </c>
      <c r="D54" s="5">
        <v>40</v>
      </c>
      <c r="E54" s="6">
        <f>+VLOOKUP(A54,[1]Sheet3!A:D,4,FALSE)</f>
        <v>1</v>
      </c>
      <c r="F54" s="6">
        <f t="shared" si="0"/>
        <v>40</v>
      </c>
      <c r="G54" s="6">
        <v>2603.5</v>
      </c>
      <c r="H54" s="6">
        <v>996.94999999999993</v>
      </c>
      <c r="I54" s="6">
        <v>889</v>
      </c>
    </row>
    <row r="55" spans="1:9">
      <c r="A55" s="4" t="s">
        <v>116</v>
      </c>
      <c r="B55" s="4" t="s">
        <v>117</v>
      </c>
      <c r="C55" s="4" t="s">
        <v>11</v>
      </c>
      <c r="D55" s="5">
        <v>48</v>
      </c>
      <c r="E55" s="6">
        <f>+VLOOKUP(A55,[1]Sheet3!A:D,4,FALSE)</f>
        <v>1</v>
      </c>
      <c r="F55" s="6">
        <f t="shared" si="0"/>
        <v>48</v>
      </c>
      <c r="G55" s="6">
        <v>2590.7999999999997</v>
      </c>
      <c r="H55" s="6">
        <v>1238.25</v>
      </c>
      <c r="I55" s="6">
        <v>933.44999999999993</v>
      </c>
    </row>
    <row r="56" spans="1:9">
      <c r="A56" s="4" t="s">
        <v>118</v>
      </c>
      <c r="B56" s="4" t="s">
        <v>119</v>
      </c>
      <c r="C56" s="4" t="s">
        <v>11</v>
      </c>
      <c r="D56" s="5">
        <v>48</v>
      </c>
      <c r="E56" s="6">
        <f>+VLOOKUP(A56,[1]Sheet3!A:D,4,FALSE)</f>
        <v>1</v>
      </c>
      <c r="F56" s="6">
        <f t="shared" si="0"/>
        <v>48</v>
      </c>
      <c r="G56" s="6">
        <v>2590.7999999999997</v>
      </c>
      <c r="H56" s="6">
        <v>1238.25</v>
      </c>
      <c r="I56" s="6">
        <v>933.44999999999993</v>
      </c>
    </row>
    <row r="57" spans="1:9">
      <c r="A57" s="4" t="s">
        <v>120</v>
      </c>
      <c r="B57" s="4" t="s">
        <v>121</v>
      </c>
      <c r="C57" s="4" t="s">
        <v>11</v>
      </c>
      <c r="D57" s="5">
        <v>32</v>
      </c>
      <c r="E57" s="6">
        <f>+VLOOKUP(A57,[1]Sheet3!A:D,4,FALSE)</f>
        <v>1</v>
      </c>
      <c r="F57" s="6">
        <f t="shared" si="0"/>
        <v>32</v>
      </c>
      <c r="G57" s="6">
        <v>2641.6</v>
      </c>
      <c r="H57" s="6">
        <v>1250.9499999999998</v>
      </c>
      <c r="I57" s="6">
        <v>844.55</v>
      </c>
    </row>
    <row r="58" spans="1:9">
      <c r="A58" s="4" t="s">
        <v>122</v>
      </c>
      <c r="B58" s="4" t="s">
        <v>123</v>
      </c>
      <c r="C58" s="4" t="s">
        <v>11</v>
      </c>
      <c r="D58" s="5">
        <v>32</v>
      </c>
      <c r="E58" s="6">
        <f>+VLOOKUP(A58,[1]Sheet3!A:D,4,FALSE)</f>
        <v>1</v>
      </c>
      <c r="F58" s="6">
        <f t="shared" si="0"/>
        <v>32</v>
      </c>
      <c r="G58" s="6">
        <v>2641.6</v>
      </c>
      <c r="H58" s="6">
        <v>1250.9499999999998</v>
      </c>
      <c r="I58" s="6">
        <v>844.55</v>
      </c>
    </row>
    <row r="59" spans="1:9">
      <c r="A59" s="4" t="s">
        <v>124</v>
      </c>
      <c r="B59" s="4" t="s">
        <v>125</v>
      </c>
      <c r="C59" s="4" t="s">
        <v>11</v>
      </c>
      <c r="D59" s="5">
        <v>28</v>
      </c>
      <c r="E59" s="6">
        <f>+VLOOKUP(A59,[1]Sheet3!A:D,4,FALSE)</f>
        <v>1</v>
      </c>
      <c r="F59" s="6">
        <f t="shared" si="0"/>
        <v>28</v>
      </c>
      <c r="G59" s="6">
        <v>2600.3249999999998</v>
      </c>
      <c r="H59" s="6">
        <v>1428.75</v>
      </c>
      <c r="I59" s="6">
        <v>615.94999999999993</v>
      </c>
    </row>
    <row r="60" spans="1:9">
      <c r="A60" s="4" t="s">
        <v>126</v>
      </c>
      <c r="B60" s="4" t="s">
        <v>127</v>
      </c>
      <c r="C60" s="4" t="s">
        <v>11</v>
      </c>
      <c r="D60" s="5">
        <v>28</v>
      </c>
      <c r="E60" s="6">
        <f>+VLOOKUP(A60,[1]Sheet3!A:D,4,FALSE)</f>
        <v>1</v>
      </c>
      <c r="F60" s="6">
        <f t="shared" si="0"/>
        <v>28</v>
      </c>
      <c r="G60" s="6">
        <v>2600.3249999999998</v>
      </c>
      <c r="H60" s="6">
        <v>1428.75</v>
      </c>
      <c r="I60" s="6">
        <v>615.94999999999993</v>
      </c>
    </row>
    <row r="61" spans="1:9">
      <c r="A61" s="4" t="s">
        <v>128</v>
      </c>
      <c r="B61" s="4" t="s">
        <v>129</v>
      </c>
      <c r="C61" s="4" t="s">
        <v>11</v>
      </c>
      <c r="D61" s="5">
        <v>20</v>
      </c>
      <c r="E61" s="6">
        <f>+VLOOKUP(A61,[1]Sheet3!A:D,4,FALSE)</f>
        <v>0.5</v>
      </c>
      <c r="F61" s="6">
        <f t="shared" si="0"/>
        <v>40</v>
      </c>
      <c r="G61" s="6">
        <v>2381.25</v>
      </c>
      <c r="H61" s="6">
        <v>933.44999999999993</v>
      </c>
      <c r="I61" s="6">
        <v>1308.0999999999999</v>
      </c>
    </row>
    <row r="62" spans="1:9">
      <c r="A62" s="4" t="s">
        <v>130</v>
      </c>
      <c r="B62" s="4" t="s">
        <v>131</v>
      </c>
      <c r="C62" s="4" t="s">
        <v>11</v>
      </c>
      <c r="D62" s="5">
        <v>20</v>
      </c>
      <c r="E62" s="6">
        <f>+VLOOKUP(A62,[1]Sheet3!A:D,4,FALSE)</f>
        <v>0.5</v>
      </c>
      <c r="F62" s="6">
        <f t="shared" si="0"/>
        <v>40</v>
      </c>
      <c r="G62" s="6">
        <v>2381.25</v>
      </c>
      <c r="H62" s="6">
        <v>933.44999999999993</v>
      </c>
      <c r="I62" s="6">
        <v>1308.0999999999999</v>
      </c>
    </row>
    <row r="63" spans="1:9">
      <c r="A63" s="4" t="s">
        <v>132</v>
      </c>
      <c r="B63" s="4" t="s">
        <v>133</v>
      </c>
      <c r="C63" s="4" t="s">
        <v>11</v>
      </c>
      <c r="D63" s="5">
        <v>20</v>
      </c>
      <c r="E63" s="6">
        <f>+VLOOKUP(A63,[1]Sheet3!A:D,4,FALSE)</f>
        <v>0.5</v>
      </c>
      <c r="F63" s="6">
        <f t="shared" si="0"/>
        <v>40</v>
      </c>
      <c r="G63" s="6">
        <v>2381.25</v>
      </c>
      <c r="H63" s="6">
        <v>933.44999999999993</v>
      </c>
      <c r="I63" s="6">
        <v>1308.0999999999999</v>
      </c>
    </row>
    <row r="64" spans="1:9">
      <c r="A64" s="4" t="s">
        <v>134</v>
      </c>
      <c r="B64" s="4" t="s">
        <v>135</v>
      </c>
      <c r="C64" s="4" t="s">
        <v>11</v>
      </c>
      <c r="D64" s="5">
        <v>20</v>
      </c>
      <c r="E64" s="6">
        <f>+VLOOKUP(A64,[1]Sheet3!A:D,4,FALSE)</f>
        <v>0.5</v>
      </c>
      <c r="F64" s="6">
        <f t="shared" si="0"/>
        <v>40</v>
      </c>
      <c r="G64" s="6">
        <v>2381.25</v>
      </c>
      <c r="H64" s="6">
        <v>933.44999999999993</v>
      </c>
      <c r="I64" s="6">
        <v>1308.0999999999999</v>
      </c>
    </row>
    <row r="65" spans="1:9">
      <c r="A65" s="4" t="s">
        <v>136</v>
      </c>
      <c r="B65" s="4" t="s">
        <v>137</v>
      </c>
      <c r="C65" s="4" t="s">
        <v>11</v>
      </c>
      <c r="D65" s="5">
        <v>20</v>
      </c>
      <c r="E65" s="6">
        <f>+VLOOKUP(A65,[1]Sheet3!A:D,4,FALSE)</f>
        <v>0.5</v>
      </c>
      <c r="F65" s="6">
        <f t="shared" si="0"/>
        <v>40</v>
      </c>
      <c r="G65" s="6">
        <v>2667</v>
      </c>
      <c r="H65" s="6">
        <v>1073.1499999999999</v>
      </c>
      <c r="I65" s="6">
        <v>1346.1999999999998</v>
      </c>
    </row>
    <row r="66" spans="1:9">
      <c r="A66" s="4" t="s">
        <v>138</v>
      </c>
      <c r="B66" s="4" t="s">
        <v>139</v>
      </c>
      <c r="C66" s="4" t="s">
        <v>11</v>
      </c>
      <c r="D66" s="5">
        <v>20</v>
      </c>
      <c r="E66" s="6">
        <f>+VLOOKUP(A66,[1]Sheet3!A:D,4,FALSE)</f>
        <v>0.5</v>
      </c>
      <c r="F66" s="6">
        <f t="shared" si="0"/>
        <v>40</v>
      </c>
      <c r="G66" s="6">
        <v>2667</v>
      </c>
      <c r="H66" s="6">
        <v>1073.1499999999999</v>
      </c>
      <c r="I66" s="6">
        <v>1346.1999999999998</v>
      </c>
    </row>
    <row r="67" spans="1:9">
      <c r="A67" s="4" t="s">
        <v>140</v>
      </c>
      <c r="B67" s="4" t="s">
        <v>141</v>
      </c>
      <c r="C67" s="4" t="s">
        <v>11</v>
      </c>
      <c r="D67" s="5">
        <v>20</v>
      </c>
      <c r="E67" s="6">
        <f>+VLOOKUP(A67,[1]Sheet3!A:D,4,FALSE)</f>
        <v>0.5</v>
      </c>
      <c r="F67" s="6">
        <f t="shared" ref="F67:F70" si="1">+D67/E67</f>
        <v>40</v>
      </c>
      <c r="G67" s="6">
        <v>2667</v>
      </c>
      <c r="H67" s="6">
        <v>1073.1499999999999</v>
      </c>
      <c r="I67" s="6">
        <v>1346.1999999999998</v>
      </c>
    </row>
    <row r="68" spans="1:9">
      <c r="A68" s="4" t="s">
        <v>142</v>
      </c>
      <c r="B68" s="4" t="s">
        <v>143</v>
      </c>
      <c r="C68" s="4" t="s">
        <v>11</v>
      </c>
      <c r="D68" s="5">
        <v>20</v>
      </c>
      <c r="E68" s="6">
        <f>+VLOOKUP(A68,[1]Sheet3!A:D,4,FALSE)</f>
        <v>0.5</v>
      </c>
      <c r="F68" s="6">
        <f t="shared" si="1"/>
        <v>40</v>
      </c>
      <c r="G68" s="6">
        <v>2667</v>
      </c>
      <c r="H68" s="6">
        <v>1073.1499999999999</v>
      </c>
      <c r="I68" s="6">
        <v>1346.1999999999998</v>
      </c>
    </row>
    <row r="69" spans="1:9">
      <c r="A69" s="4" t="s">
        <v>144</v>
      </c>
      <c r="B69" s="4" t="s">
        <v>145</v>
      </c>
      <c r="C69" s="4" t="s">
        <v>11</v>
      </c>
      <c r="D69" s="5">
        <v>20</v>
      </c>
      <c r="E69" s="6">
        <f>+VLOOKUP(A69,[1]Sheet3!A:D,4,FALSE)</f>
        <v>0.5</v>
      </c>
      <c r="F69" s="6">
        <f t="shared" si="1"/>
        <v>40</v>
      </c>
      <c r="G69" s="6">
        <v>2698.75</v>
      </c>
      <c r="H69" s="6">
        <v>1060.45</v>
      </c>
      <c r="I69" s="6">
        <v>1663.6999999999998</v>
      </c>
    </row>
    <row r="70" spans="1:9">
      <c r="A70" s="4" t="s">
        <v>146</v>
      </c>
      <c r="B70" s="4"/>
      <c r="C70" s="4" t="s">
        <v>11</v>
      </c>
      <c r="D70" s="5">
        <v>40</v>
      </c>
      <c r="E70" s="6">
        <v>1</v>
      </c>
      <c r="F70" s="6">
        <f t="shared" si="1"/>
        <v>40</v>
      </c>
      <c r="G70" s="6">
        <v>2603.5</v>
      </c>
      <c r="H70" s="6">
        <v>996.94999999999993</v>
      </c>
      <c r="I70" s="6">
        <v>889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8cfa998-f805-49cf-849a-5c8306f18c04}" enabled="0" method="" siteId="{38cfa998-f805-49cf-849a-5c8306f18c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Guzman Rico</dc:creator>
  <cp:lastModifiedBy>Santiago Guzman Rico</cp:lastModifiedBy>
  <dcterms:created xsi:type="dcterms:W3CDTF">2026-09-22T15:18:56Z</dcterms:created>
  <dcterms:modified xsi:type="dcterms:W3CDTF">2026-09-22T21:11:25Z</dcterms:modified>
</cp:coreProperties>
</file>